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e2e011711b820df/Documents/astrophotography/"/>
    </mc:Choice>
  </mc:AlternateContent>
  <xr:revisionPtr revIDLastSave="236" documentId="11_57A3442CC44B44FF2DA24B76F8D9F602F7C9FBB8" xr6:coauthVersionLast="47" xr6:coauthVersionMax="47" xr10:uidLastSave="{0F00C75A-B0A3-44DD-BB25-096B9D56BB61}"/>
  <bookViews>
    <workbookView xWindow="-6040" yWindow="-19660" windowWidth="23020" windowHeight="12340" xr2:uid="{00000000-000D-0000-FFFF-FFFF00000000}"/>
  </bookViews>
  <sheets>
    <sheet name="Target Planner" sheetId="1" r:id="rId1"/>
    <sheet name="Imaging Log" sheetId="2" r:id="rId2"/>
  </sheets>
  <definedNames>
    <definedName name="_xlnm._FilterDatabase" localSheetId="1" hidden="1">'Imaging Log'!$A$1:$AE$83</definedName>
    <definedName name="_xlnm._FilterDatabase" localSheetId="0" hidden="1">'Target Planner'!$A$1:$AE$162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67" i="1" l="1"/>
  <c r="AQ141" i="1"/>
  <c r="AQ131" i="1"/>
  <c r="AQ127" i="1"/>
  <c r="AQ123" i="1"/>
  <c r="AQ109" i="1"/>
  <c r="AQ105" i="1"/>
  <c r="AQ44" i="1"/>
  <c r="AQ41" i="1"/>
  <c r="AQ17" i="1"/>
  <c r="AE178" i="1"/>
  <c r="AQ178" i="1" s="1"/>
  <c r="AE177" i="1"/>
  <c r="AQ177" i="1" s="1"/>
  <c r="AE176" i="1"/>
  <c r="AQ176" i="1" s="1"/>
  <c r="AE175" i="1"/>
  <c r="AQ175" i="1" s="1"/>
  <c r="AE174" i="1"/>
  <c r="AQ174" i="1" s="1"/>
  <c r="AE173" i="1"/>
  <c r="AQ173" i="1" s="1"/>
  <c r="AE172" i="1"/>
  <c r="AQ172" i="1" s="1"/>
  <c r="AE171" i="1"/>
  <c r="AQ171" i="1" s="1"/>
  <c r="AE170" i="1"/>
  <c r="AQ170" i="1" s="1"/>
  <c r="AE169" i="1"/>
  <c r="AQ169" i="1" s="1"/>
  <c r="AE168" i="1"/>
  <c r="AQ168" i="1" s="1"/>
  <c r="AE167" i="1"/>
  <c r="AE166" i="1"/>
  <c r="AQ166" i="1" s="1"/>
  <c r="AE165" i="1"/>
  <c r="AE164" i="1"/>
  <c r="AQ164" i="1" s="1"/>
  <c r="AE163" i="1"/>
  <c r="AQ163" i="1" s="1"/>
  <c r="AE162" i="1"/>
  <c r="AQ162" i="1" s="1"/>
  <c r="AE161" i="1"/>
  <c r="AQ161" i="1" s="1"/>
  <c r="AE160" i="1"/>
  <c r="AQ160" i="1" s="1"/>
  <c r="AE159" i="1"/>
  <c r="AQ159" i="1" s="1"/>
  <c r="AE156" i="1"/>
  <c r="AQ156" i="1" s="1"/>
  <c r="AE154" i="1"/>
  <c r="AQ154" i="1" s="1"/>
  <c r="AE152" i="1"/>
  <c r="AQ152" i="1" s="1"/>
  <c r="AE151" i="1"/>
  <c r="AQ151" i="1" s="1"/>
  <c r="AE150" i="1"/>
  <c r="AQ150" i="1" s="1"/>
  <c r="AE149" i="1"/>
  <c r="AQ149" i="1" s="1"/>
  <c r="AE148" i="1"/>
  <c r="AQ148" i="1" s="1"/>
  <c r="AE147" i="1"/>
  <c r="AQ147" i="1" s="1"/>
  <c r="AE146" i="1"/>
  <c r="AQ146" i="1" s="1"/>
  <c r="AE145" i="1"/>
  <c r="AQ145" i="1" s="1"/>
  <c r="AE144" i="1"/>
  <c r="AQ144" i="1" s="1"/>
  <c r="AE143" i="1"/>
  <c r="AQ143" i="1" s="1"/>
  <c r="AE142" i="1"/>
  <c r="AQ142" i="1" s="1"/>
  <c r="AE141" i="1"/>
  <c r="AE140" i="1"/>
  <c r="AQ140" i="1" s="1"/>
  <c r="AE139" i="1"/>
  <c r="AQ139" i="1" s="1"/>
  <c r="AE138" i="1"/>
  <c r="AQ138" i="1" s="1"/>
  <c r="AE137" i="1"/>
  <c r="AQ137" i="1" s="1"/>
  <c r="AE136" i="1"/>
  <c r="AQ136" i="1" s="1"/>
  <c r="AE135" i="1"/>
  <c r="AQ135" i="1" s="1"/>
  <c r="AE134" i="1"/>
  <c r="AQ134" i="1" s="1"/>
  <c r="AE133" i="1"/>
  <c r="AQ133" i="1" s="1"/>
  <c r="AE132" i="1"/>
  <c r="AQ132" i="1" s="1"/>
  <c r="AE131" i="1"/>
  <c r="AE128" i="1"/>
  <c r="AQ128" i="1" s="1"/>
  <c r="AE127" i="1"/>
  <c r="AE126" i="1"/>
  <c r="AQ126" i="1" s="1"/>
  <c r="AE125" i="1"/>
  <c r="AQ125" i="1" s="1"/>
  <c r="AE124" i="1"/>
  <c r="AQ124" i="1" s="1"/>
  <c r="AE123" i="1"/>
  <c r="AE122" i="1"/>
  <c r="AQ122" i="1" s="1"/>
  <c r="AE121" i="1"/>
  <c r="AQ121" i="1" s="1"/>
  <c r="AE120" i="1"/>
  <c r="AQ120" i="1" s="1"/>
  <c r="AE118" i="1"/>
  <c r="AQ118" i="1" s="1"/>
  <c r="AE117" i="1"/>
  <c r="AQ117" i="1" s="1"/>
  <c r="AE116" i="1"/>
  <c r="AQ116" i="1" s="1"/>
  <c r="AE114" i="1"/>
  <c r="AE113" i="1"/>
  <c r="AQ113" i="1" s="1"/>
  <c r="AE112" i="1"/>
  <c r="AQ112" i="1" s="1"/>
  <c r="AE111" i="1"/>
  <c r="AE110" i="1"/>
  <c r="AQ110" i="1" s="1"/>
  <c r="AE109" i="1"/>
  <c r="AE108" i="1"/>
  <c r="AQ108" i="1" s="1"/>
  <c r="AE107" i="1"/>
  <c r="AQ107" i="1" s="1"/>
  <c r="AE106" i="1"/>
  <c r="AQ106" i="1" s="1"/>
  <c r="AE105" i="1"/>
  <c r="AE104" i="1"/>
  <c r="AQ104" i="1" s="1"/>
  <c r="AE101" i="1"/>
  <c r="AQ101" i="1" s="1"/>
  <c r="AE99" i="1"/>
  <c r="AQ99" i="1" s="1"/>
  <c r="AE95" i="1"/>
  <c r="AQ95" i="1" s="1"/>
  <c r="AE93" i="1"/>
  <c r="AQ93" i="1" s="1"/>
  <c r="AE92" i="1"/>
  <c r="AQ92" i="1" s="1"/>
  <c r="AE91" i="1"/>
  <c r="AQ91" i="1" s="1"/>
  <c r="AE90" i="1"/>
  <c r="AQ90" i="1" s="1"/>
  <c r="AE89" i="1"/>
  <c r="AQ89" i="1" s="1"/>
  <c r="AE88" i="1"/>
  <c r="AE87" i="1"/>
  <c r="AQ87" i="1" s="1"/>
  <c r="AE85" i="1"/>
  <c r="AQ85" i="1" s="1"/>
  <c r="AE84" i="1"/>
  <c r="AQ84" i="1" s="1"/>
  <c r="AE81" i="1"/>
  <c r="AE80" i="1"/>
  <c r="AQ80" i="1" s="1"/>
  <c r="AE79" i="1"/>
  <c r="AQ79" i="1" s="1"/>
  <c r="AE78" i="1"/>
  <c r="AQ78" i="1" s="1"/>
  <c r="AE77" i="1"/>
  <c r="AQ77" i="1" s="1"/>
  <c r="AE76" i="1"/>
  <c r="AQ76" i="1" s="1"/>
  <c r="AE75" i="1"/>
  <c r="AQ75" i="1" s="1"/>
  <c r="AE74" i="1"/>
  <c r="AQ74" i="1" s="1"/>
  <c r="AE73" i="1"/>
  <c r="AQ73" i="1" s="1"/>
  <c r="AE72" i="1"/>
  <c r="AQ72" i="1" s="1"/>
  <c r="AE71" i="1"/>
  <c r="AQ71" i="1" s="1"/>
  <c r="AE70" i="1"/>
  <c r="AQ70" i="1" s="1"/>
  <c r="AE66" i="1"/>
  <c r="AQ66" i="1" s="1"/>
  <c r="AE55" i="1"/>
  <c r="AQ55" i="1" s="1"/>
  <c r="AE46" i="1"/>
  <c r="AQ46" i="1" s="1"/>
  <c r="AE45" i="1"/>
  <c r="AQ45" i="1" s="1"/>
  <c r="AE44" i="1"/>
  <c r="AE43" i="1"/>
  <c r="AQ43" i="1" s="1"/>
  <c r="AE41" i="1"/>
  <c r="AE40" i="1"/>
  <c r="AQ40" i="1" s="1"/>
  <c r="AE39" i="1"/>
  <c r="AE38" i="1"/>
  <c r="AQ38" i="1" s="1"/>
  <c r="AE37" i="1"/>
  <c r="AE36" i="1"/>
  <c r="AQ36" i="1" s="1"/>
  <c r="AE35" i="1"/>
  <c r="AQ35" i="1" s="1"/>
  <c r="AE33" i="1"/>
  <c r="AQ33" i="1" s="1"/>
  <c r="AE32" i="1"/>
  <c r="AQ32" i="1" s="1"/>
  <c r="AE29" i="1"/>
  <c r="AQ29" i="1" s="1"/>
  <c r="AE28" i="1"/>
  <c r="AQ28" i="1" s="1"/>
  <c r="AE26" i="1"/>
  <c r="AQ26" i="1" s="1"/>
  <c r="AE21" i="1"/>
  <c r="AQ21" i="1" s="1"/>
  <c r="AE18" i="1"/>
  <c r="AQ18" i="1" s="1"/>
  <c r="AE17" i="1"/>
  <c r="AE13" i="1"/>
  <c r="AQ13" i="1" s="1"/>
  <c r="AE11" i="1"/>
  <c r="AQ11" i="1" s="1"/>
  <c r="AE10" i="1"/>
  <c r="AQ10" i="1" s="1"/>
  <c r="AE9" i="1"/>
  <c r="AQ9" i="1" s="1"/>
  <c r="AE8" i="1"/>
  <c r="AQ8" i="1" s="1"/>
  <c r="AE7" i="1"/>
  <c r="AQ7" i="1" s="1"/>
  <c r="AE5" i="1"/>
  <c r="AQ5" i="1" s="1"/>
  <c r="AE3" i="1"/>
  <c r="AQ3" i="1" s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6" i="1"/>
  <c r="AP154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28" i="1"/>
  <c r="AP127" i="1"/>
  <c r="AP126" i="1"/>
  <c r="AP125" i="1"/>
  <c r="AP124" i="1"/>
  <c r="AP123" i="1"/>
  <c r="AP122" i="1"/>
  <c r="AP121" i="1"/>
  <c r="AP120" i="1"/>
  <c r="AP118" i="1"/>
  <c r="AP117" i="1"/>
  <c r="AP116" i="1"/>
  <c r="AP114" i="1"/>
  <c r="AP113" i="1"/>
  <c r="AP112" i="1"/>
  <c r="AP111" i="1"/>
  <c r="AP110" i="1"/>
  <c r="AP109" i="1"/>
  <c r="AP108" i="1"/>
  <c r="AP107" i="1"/>
  <c r="AP106" i="1"/>
  <c r="AP105" i="1"/>
  <c r="AP104" i="1"/>
  <c r="AP101" i="1"/>
  <c r="AP99" i="1"/>
  <c r="AP95" i="1"/>
  <c r="AP93" i="1"/>
  <c r="AP92" i="1"/>
  <c r="AP91" i="1"/>
  <c r="AP90" i="1"/>
  <c r="AP89" i="1"/>
  <c r="AP88" i="1"/>
  <c r="AP87" i="1"/>
  <c r="AP85" i="1"/>
  <c r="AP84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6" i="1"/>
  <c r="AP55" i="1"/>
  <c r="AP46" i="1"/>
  <c r="AP45" i="1"/>
  <c r="AP44" i="1"/>
  <c r="AP43" i="1"/>
  <c r="AP41" i="1"/>
  <c r="AP40" i="1"/>
  <c r="AP39" i="1"/>
  <c r="AP38" i="1"/>
  <c r="AP37" i="1"/>
  <c r="AP36" i="1"/>
  <c r="AP35" i="1"/>
  <c r="AP33" i="1"/>
  <c r="AP32" i="1"/>
  <c r="AP29" i="1"/>
  <c r="AP28" i="1"/>
  <c r="AP26" i="1"/>
  <c r="AP21" i="1"/>
  <c r="AP18" i="1"/>
  <c r="AP17" i="1"/>
  <c r="AP13" i="1"/>
  <c r="AP11" i="1"/>
  <c r="AP10" i="1"/>
  <c r="AP9" i="1"/>
  <c r="AP8" i="1"/>
  <c r="AP7" i="1"/>
  <c r="AP5" i="1"/>
  <c r="AP3" i="1"/>
  <c r="AN163" i="1"/>
  <c r="AN162" i="1"/>
  <c r="AN161" i="1"/>
  <c r="AN159" i="1"/>
  <c r="AN156" i="1"/>
  <c r="AN154" i="1"/>
  <c r="AN152" i="1"/>
  <c r="AN151" i="1"/>
  <c r="AN150" i="1"/>
  <c r="AN149" i="1"/>
  <c r="AN148" i="1"/>
  <c r="AN147" i="1"/>
  <c r="AN146" i="1"/>
  <c r="AN145" i="1"/>
  <c r="AN144" i="1"/>
  <c r="AN143" i="1"/>
  <c r="AN141" i="1"/>
  <c r="AN140" i="1"/>
  <c r="AN139" i="1"/>
  <c r="AN138" i="1"/>
  <c r="AN137" i="1"/>
  <c r="AN136" i="1"/>
  <c r="AN135" i="1"/>
  <c r="AN134" i="1"/>
  <c r="AN133" i="1"/>
  <c r="AN132" i="1"/>
  <c r="AN131" i="1"/>
  <c r="AN128" i="1"/>
  <c r="AN127" i="1"/>
  <c r="AN126" i="1"/>
  <c r="AN125" i="1"/>
  <c r="AN124" i="1"/>
  <c r="AN123" i="1"/>
  <c r="AN122" i="1"/>
  <c r="AN121" i="1"/>
  <c r="AN120" i="1"/>
  <c r="AN118" i="1"/>
  <c r="AN117" i="1"/>
  <c r="AN112" i="1"/>
  <c r="AN89" i="1"/>
  <c r="AN80" i="1"/>
  <c r="AN78" i="1"/>
  <c r="AN77" i="1"/>
  <c r="AN76" i="1"/>
  <c r="AN75" i="1"/>
  <c r="AN74" i="1"/>
  <c r="AN73" i="1"/>
  <c r="AN36" i="1"/>
  <c r="AN35" i="1"/>
  <c r="AN33" i="1"/>
  <c r="AN32" i="1"/>
  <c r="AN29" i="1"/>
  <c r="AN28" i="1"/>
  <c r="AN21" i="1"/>
  <c r="AN17" i="1"/>
  <c r="AN11" i="1"/>
  <c r="AN10" i="1"/>
  <c r="AN9" i="1"/>
  <c r="AN8" i="1"/>
  <c r="AN7" i="1"/>
  <c r="AN5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6" i="1"/>
  <c r="AM154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28" i="1"/>
  <c r="AM127" i="1"/>
  <c r="AM126" i="1"/>
  <c r="AM125" i="1"/>
  <c r="AM124" i="1"/>
  <c r="AM123" i="1"/>
  <c r="AM122" i="1"/>
  <c r="AM121" i="1"/>
  <c r="AM120" i="1"/>
  <c r="AM118" i="1"/>
  <c r="AM117" i="1"/>
  <c r="AM116" i="1"/>
  <c r="AM114" i="1"/>
  <c r="AM113" i="1"/>
  <c r="AM112" i="1"/>
  <c r="AM111" i="1"/>
  <c r="AM110" i="1"/>
  <c r="AM109" i="1"/>
  <c r="AM108" i="1"/>
  <c r="AM107" i="1"/>
  <c r="AM106" i="1"/>
  <c r="AM105" i="1"/>
  <c r="AM104" i="1"/>
  <c r="AM101" i="1"/>
  <c r="AM99" i="1"/>
  <c r="AM95" i="1"/>
  <c r="AM93" i="1"/>
  <c r="AM92" i="1"/>
  <c r="AM91" i="1"/>
  <c r="AM90" i="1"/>
  <c r="AM89" i="1"/>
  <c r="AM88" i="1"/>
  <c r="AM87" i="1"/>
  <c r="AM85" i="1"/>
  <c r="AM84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6" i="1"/>
  <c r="AM55" i="1"/>
  <c r="AM46" i="1"/>
  <c r="AM45" i="1"/>
  <c r="AM44" i="1"/>
  <c r="AM43" i="1"/>
  <c r="AM41" i="1"/>
  <c r="AM40" i="1"/>
  <c r="AM39" i="1"/>
  <c r="AM38" i="1"/>
  <c r="AM37" i="1"/>
  <c r="AM36" i="1"/>
  <c r="AM35" i="1"/>
  <c r="AM33" i="1"/>
  <c r="AM32" i="1"/>
  <c r="AM29" i="1"/>
  <c r="AM28" i="1"/>
  <c r="AM26" i="1"/>
  <c r="AM21" i="1"/>
  <c r="AM18" i="1"/>
  <c r="AM17" i="1"/>
  <c r="AM13" i="1"/>
  <c r="AM11" i="1"/>
  <c r="AM10" i="1"/>
  <c r="AM9" i="1"/>
  <c r="AM8" i="1"/>
  <c r="AM7" i="1"/>
  <c r="AM5" i="1"/>
  <c r="AM3" i="1"/>
  <c r="AL178" i="1"/>
  <c r="AN178" i="1" s="1"/>
  <c r="AL177" i="1"/>
  <c r="AN177" i="1" s="1"/>
  <c r="AL176" i="1"/>
  <c r="AN176" i="1" s="1"/>
  <c r="AL175" i="1"/>
  <c r="AN175" i="1" s="1"/>
  <c r="AL174" i="1"/>
  <c r="AN174" i="1" s="1"/>
  <c r="AL173" i="1"/>
  <c r="AN173" i="1" s="1"/>
  <c r="AL172" i="1"/>
  <c r="AN172" i="1" s="1"/>
  <c r="AL171" i="1"/>
  <c r="AN171" i="1" s="1"/>
  <c r="AL170" i="1"/>
  <c r="AN170" i="1" s="1"/>
  <c r="AL169" i="1"/>
  <c r="AN169" i="1" s="1"/>
  <c r="AL168" i="1"/>
  <c r="AN168" i="1" s="1"/>
  <c r="AL167" i="1"/>
  <c r="AN167" i="1" s="1"/>
  <c r="AL166" i="1"/>
  <c r="AN166" i="1" s="1"/>
  <c r="AL165" i="1"/>
  <c r="AN165" i="1" s="1"/>
  <c r="AQ165" i="1" s="1"/>
  <c r="AL164" i="1"/>
  <c r="AN164" i="1" s="1"/>
  <c r="AL163" i="1"/>
  <c r="AL162" i="1"/>
  <c r="AL161" i="1"/>
  <c r="AL160" i="1"/>
  <c r="AN160" i="1" s="1"/>
  <c r="AL159" i="1"/>
  <c r="AL156" i="1"/>
  <c r="AL154" i="1"/>
  <c r="AL152" i="1"/>
  <c r="AL151" i="1"/>
  <c r="AL150" i="1"/>
  <c r="AL149" i="1"/>
  <c r="AL148" i="1"/>
  <c r="AL147" i="1"/>
  <c r="AL146" i="1"/>
  <c r="AL145" i="1"/>
  <c r="AL144" i="1"/>
  <c r="AL143" i="1"/>
  <c r="AL142" i="1"/>
  <c r="AN142" i="1" s="1"/>
  <c r="AL141" i="1"/>
  <c r="AL140" i="1"/>
  <c r="AL139" i="1"/>
  <c r="AL138" i="1"/>
  <c r="AL137" i="1"/>
  <c r="AL136" i="1"/>
  <c r="AL135" i="1"/>
  <c r="AL134" i="1"/>
  <c r="AL133" i="1"/>
  <c r="AL132" i="1"/>
  <c r="AL131" i="1"/>
  <c r="AL128" i="1"/>
  <c r="AL127" i="1"/>
  <c r="AL126" i="1"/>
  <c r="AL125" i="1"/>
  <c r="AL124" i="1"/>
  <c r="AL123" i="1"/>
  <c r="AL122" i="1"/>
  <c r="AL121" i="1"/>
  <c r="AL120" i="1"/>
  <c r="AL118" i="1"/>
  <c r="AL117" i="1"/>
  <c r="AL116" i="1"/>
  <c r="AN116" i="1" s="1"/>
  <c r="AL114" i="1"/>
  <c r="AN114" i="1" s="1"/>
  <c r="AL113" i="1"/>
  <c r="AN113" i="1" s="1"/>
  <c r="AL112" i="1"/>
  <c r="AL111" i="1"/>
  <c r="AN111" i="1" s="1"/>
  <c r="AQ111" i="1" s="1"/>
  <c r="AL110" i="1"/>
  <c r="AN110" i="1" s="1"/>
  <c r="AL109" i="1"/>
  <c r="AN109" i="1" s="1"/>
  <c r="AL108" i="1"/>
  <c r="AN108" i="1" s="1"/>
  <c r="AL107" i="1"/>
  <c r="AN107" i="1" s="1"/>
  <c r="AL106" i="1"/>
  <c r="AN106" i="1" s="1"/>
  <c r="AL105" i="1"/>
  <c r="AN105" i="1" s="1"/>
  <c r="AL104" i="1"/>
  <c r="AN104" i="1" s="1"/>
  <c r="AL101" i="1"/>
  <c r="AN101" i="1" s="1"/>
  <c r="AL99" i="1"/>
  <c r="AN99" i="1" s="1"/>
  <c r="AL95" i="1"/>
  <c r="AN95" i="1" s="1"/>
  <c r="AL93" i="1"/>
  <c r="AN93" i="1" s="1"/>
  <c r="AL92" i="1"/>
  <c r="AN92" i="1" s="1"/>
  <c r="AL91" i="1"/>
  <c r="AN91" i="1" s="1"/>
  <c r="AL90" i="1"/>
  <c r="AN90" i="1" s="1"/>
  <c r="AL89" i="1"/>
  <c r="AL88" i="1"/>
  <c r="AN88" i="1" s="1"/>
  <c r="AQ88" i="1" s="1"/>
  <c r="AL87" i="1"/>
  <c r="AN87" i="1" s="1"/>
  <c r="AL85" i="1"/>
  <c r="AN85" i="1" s="1"/>
  <c r="AL84" i="1"/>
  <c r="AN84" i="1" s="1"/>
  <c r="AL81" i="1"/>
  <c r="AN81" i="1" s="1"/>
  <c r="AQ81" i="1" s="1"/>
  <c r="AL80" i="1"/>
  <c r="AL79" i="1"/>
  <c r="AN79" i="1" s="1"/>
  <c r="AL78" i="1"/>
  <c r="AL77" i="1"/>
  <c r="AL76" i="1"/>
  <c r="AL75" i="1"/>
  <c r="AL74" i="1"/>
  <c r="AL73" i="1"/>
  <c r="AL72" i="1"/>
  <c r="AN72" i="1" s="1"/>
  <c r="AL71" i="1"/>
  <c r="AN71" i="1" s="1"/>
  <c r="AL70" i="1"/>
  <c r="AN70" i="1" s="1"/>
  <c r="AL66" i="1"/>
  <c r="AN66" i="1" s="1"/>
  <c r="AL55" i="1"/>
  <c r="AN55" i="1" s="1"/>
  <c r="AL46" i="1"/>
  <c r="AN46" i="1" s="1"/>
  <c r="AL45" i="1"/>
  <c r="AN45" i="1" s="1"/>
  <c r="AL44" i="1"/>
  <c r="AN44" i="1" s="1"/>
  <c r="AL43" i="1"/>
  <c r="AN43" i="1" s="1"/>
  <c r="AL41" i="1"/>
  <c r="AN41" i="1" s="1"/>
  <c r="AL40" i="1"/>
  <c r="AN40" i="1" s="1"/>
  <c r="AL39" i="1"/>
  <c r="AN39" i="1" s="1"/>
  <c r="AL38" i="1"/>
  <c r="AN38" i="1" s="1"/>
  <c r="AL37" i="1"/>
  <c r="AN37" i="1" s="1"/>
  <c r="AL36" i="1"/>
  <c r="AL35" i="1"/>
  <c r="AL33" i="1"/>
  <c r="AL32" i="1"/>
  <c r="AL29" i="1"/>
  <c r="AL28" i="1"/>
  <c r="AL26" i="1"/>
  <c r="AN26" i="1" s="1"/>
  <c r="AL21" i="1"/>
  <c r="AL18" i="1"/>
  <c r="AN18" i="1" s="1"/>
  <c r="AL17" i="1"/>
  <c r="AL13" i="1"/>
  <c r="AN13" i="1" s="1"/>
  <c r="AL11" i="1"/>
  <c r="AL10" i="1"/>
  <c r="AL9" i="1"/>
  <c r="AL8" i="1"/>
  <c r="AL7" i="1"/>
  <c r="AL5" i="1"/>
  <c r="AL3" i="1"/>
  <c r="AN3" i="1" s="1"/>
  <c r="X26" i="1"/>
  <c r="X21" i="1"/>
  <c r="X18" i="1"/>
  <c r="X17" i="1"/>
  <c r="X13" i="1"/>
  <c r="X11" i="1"/>
  <c r="X10" i="1"/>
  <c r="X9" i="1"/>
  <c r="X8" i="1"/>
  <c r="X7" i="1"/>
  <c r="X5" i="1"/>
  <c r="AD9" i="1"/>
  <c r="AD83" i="2"/>
  <c r="AE83" i="2" s="1"/>
  <c r="AB83" i="2"/>
  <c r="AD82" i="2"/>
  <c r="AE82" i="2" s="1"/>
  <c r="AB82" i="2"/>
  <c r="AD81" i="2"/>
  <c r="AE81" i="2" s="1"/>
  <c r="AB81" i="2"/>
  <c r="AE80" i="2"/>
  <c r="AD80" i="2"/>
  <c r="AB80" i="2"/>
  <c r="AD79" i="2"/>
  <c r="AE79" i="2" s="1"/>
  <c r="AB79" i="2"/>
  <c r="AD78" i="2"/>
  <c r="AE78" i="2" s="1"/>
  <c r="AB78" i="2"/>
  <c r="AD77" i="2"/>
  <c r="AE77" i="2" s="1"/>
  <c r="AB77" i="2"/>
  <c r="AE76" i="2"/>
  <c r="AD76" i="2"/>
  <c r="AB76" i="2"/>
  <c r="AD75" i="2"/>
  <c r="AE75" i="2" s="1"/>
  <c r="AB75" i="2"/>
  <c r="AD74" i="2"/>
  <c r="AE74" i="2" s="1"/>
  <c r="AB74" i="2"/>
  <c r="AE73" i="2"/>
  <c r="AD73" i="2"/>
  <c r="AB73" i="2"/>
  <c r="AE72" i="2"/>
  <c r="AD72" i="2"/>
  <c r="AB72" i="2"/>
  <c r="AE71" i="2"/>
  <c r="AD71" i="2"/>
  <c r="AB71" i="2"/>
  <c r="AD70" i="2"/>
  <c r="AE70" i="2" s="1"/>
  <c r="AB70" i="2"/>
  <c r="AD69" i="2"/>
  <c r="AE69" i="2" s="1"/>
  <c r="AB69" i="2"/>
  <c r="AD68" i="2"/>
  <c r="AE68" i="2" s="1"/>
  <c r="AB68" i="2"/>
  <c r="AE67" i="2"/>
  <c r="AD67" i="2"/>
  <c r="AB67" i="2"/>
  <c r="AD66" i="2"/>
  <c r="AE66" i="2" s="1"/>
  <c r="AB66" i="2"/>
  <c r="AD65" i="2"/>
  <c r="AE65" i="2" s="1"/>
  <c r="AB65" i="2"/>
  <c r="AE64" i="2"/>
  <c r="AD64" i="2"/>
  <c r="AB64" i="2"/>
  <c r="AE63" i="2"/>
  <c r="AD63" i="2"/>
  <c r="AB63" i="2"/>
  <c r="AD62" i="2"/>
  <c r="AE62" i="2" s="1"/>
  <c r="AB62" i="2"/>
  <c r="AD61" i="2"/>
  <c r="AE61" i="2" s="1"/>
  <c r="AB61" i="2"/>
  <c r="AE60" i="2"/>
  <c r="AD60" i="2"/>
  <c r="AB60" i="2"/>
  <c r="AD59" i="2"/>
  <c r="AE59" i="2" s="1"/>
  <c r="AB59" i="2"/>
  <c r="AD58" i="2"/>
  <c r="AE58" i="2" s="1"/>
  <c r="AB58" i="2"/>
  <c r="AE57" i="2"/>
  <c r="AD57" i="2"/>
  <c r="AB57" i="2"/>
  <c r="AE56" i="2"/>
  <c r="AD56" i="2"/>
  <c r="AB56" i="2"/>
  <c r="AE55" i="2"/>
  <c r="AD55" i="2"/>
  <c r="AB55" i="2"/>
  <c r="AD54" i="2"/>
  <c r="AE54" i="2" s="1"/>
  <c r="AB54" i="2"/>
  <c r="AD53" i="2"/>
  <c r="AE53" i="2" s="1"/>
  <c r="AB53" i="2"/>
  <c r="AD52" i="2"/>
  <c r="AE52" i="2" s="1"/>
  <c r="AB52" i="2"/>
  <c r="AE51" i="2"/>
  <c r="AD51" i="2"/>
  <c r="AB51" i="2"/>
  <c r="AD50" i="2"/>
  <c r="AE50" i="2" s="1"/>
  <c r="AB50" i="2"/>
  <c r="AD49" i="2"/>
  <c r="AE49" i="2" s="1"/>
  <c r="AB49" i="2"/>
  <c r="AE48" i="2"/>
  <c r="AD48" i="2"/>
  <c r="AB48" i="2"/>
  <c r="AE47" i="2"/>
  <c r="AD47" i="2"/>
  <c r="AB47" i="2"/>
  <c r="AD46" i="2"/>
  <c r="AE46" i="2" s="1"/>
  <c r="AB46" i="2"/>
  <c r="AD45" i="2"/>
  <c r="AE45" i="2" s="1"/>
  <c r="AB45" i="2"/>
  <c r="AE44" i="2"/>
  <c r="AD44" i="2"/>
  <c r="AB44" i="2"/>
  <c r="AD43" i="2"/>
  <c r="AE43" i="2" s="1"/>
  <c r="AB43" i="2"/>
  <c r="AD42" i="2"/>
  <c r="AE42" i="2" s="1"/>
  <c r="AB42" i="2"/>
  <c r="AE41" i="2"/>
  <c r="AD41" i="2"/>
  <c r="AB41" i="2"/>
  <c r="AE40" i="2"/>
  <c r="AD40" i="2"/>
  <c r="AB40" i="2"/>
  <c r="AE39" i="2"/>
  <c r="AD39" i="2"/>
  <c r="AB39" i="2"/>
  <c r="AD38" i="2"/>
  <c r="AE38" i="2" s="1"/>
  <c r="AB38" i="2"/>
  <c r="AD37" i="2"/>
  <c r="AE37" i="2" s="1"/>
  <c r="AB37" i="2"/>
  <c r="AD36" i="2"/>
  <c r="AE36" i="2" s="1"/>
  <c r="AB36" i="2"/>
  <c r="AE35" i="2"/>
  <c r="AD35" i="2"/>
  <c r="AB35" i="2"/>
  <c r="AD34" i="2"/>
  <c r="AE34" i="2" s="1"/>
  <c r="AB34" i="2"/>
  <c r="AD33" i="2"/>
  <c r="AE33" i="2" s="1"/>
  <c r="AB33" i="2"/>
  <c r="AE32" i="2"/>
  <c r="AD32" i="2"/>
  <c r="AB32" i="2"/>
  <c r="AE31" i="2"/>
  <c r="AD31" i="2"/>
  <c r="AB31" i="2"/>
  <c r="AD30" i="2"/>
  <c r="AE30" i="2" s="1"/>
  <c r="AB30" i="2"/>
  <c r="AD29" i="2"/>
  <c r="AE29" i="2" s="1"/>
  <c r="AB29" i="2"/>
  <c r="AE28" i="2"/>
  <c r="AD28" i="2"/>
  <c r="AB28" i="2"/>
  <c r="AD27" i="2"/>
  <c r="AE27" i="2" s="1"/>
  <c r="AB27" i="2"/>
  <c r="AD26" i="2"/>
  <c r="AE26" i="2" s="1"/>
  <c r="AB26" i="2"/>
  <c r="AE25" i="2"/>
  <c r="AD25" i="2"/>
  <c r="AB25" i="2"/>
  <c r="AE24" i="2"/>
  <c r="AD24" i="2"/>
  <c r="AB24" i="2"/>
  <c r="AE23" i="2"/>
  <c r="AD23" i="2"/>
  <c r="AB23" i="2"/>
  <c r="AD22" i="2"/>
  <c r="AE22" i="2" s="1"/>
  <c r="AB22" i="2"/>
  <c r="AD21" i="2"/>
  <c r="AE21" i="2" s="1"/>
  <c r="AB21" i="2"/>
  <c r="AD20" i="2"/>
  <c r="AE20" i="2" s="1"/>
  <c r="AB20" i="2"/>
  <c r="AE19" i="2"/>
  <c r="AD19" i="2"/>
  <c r="AB19" i="2"/>
  <c r="AD18" i="2"/>
  <c r="AE18" i="2" s="1"/>
  <c r="AB18" i="2"/>
  <c r="AD17" i="2"/>
  <c r="AE17" i="2" s="1"/>
  <c r="AB17" i="2"/>
  <c r="AE16" i="2"/>
  <c r="AD16" i="2"/>
  <c r="AB16" i="2"/>
  <c r="AE15" i="2"/>
  <c r="AD15" i="2"/>
  <c r="AB15" i="2"/>
  <c r="AD14" i="2"/>
  <c r="AE14" i="2" s="1"/>
  <c r="AB14" i="2"/>
  <c r="AD13" i="2"/>
  <c r="AE13" i="2" s="1"/>
  <c r="AB13" i="2"/>
  <c r="AE12" i="2"/>
  <c r="AD12" i="2"/>
  <c r="AB12" i="2"/>
  <c r="AD11" i="2"/>
  <c r="AE11" i="2" s="1"/>
  <c r="AB11" i="2"/>
  <c r="AD10" i="2"/>
  <c r="AE10" i="2" s="1"/>
  <c r="AB10" i="2"/>
  <c r="AE9" i="2"/>
  <c r="AD9" i="2"/>
  <c r="AB9" i="2"/>
  <c r="AE8" i="2"/>
  <c r="AD8" i="2"/>
  <c r="AB8" i="2"/>
  <c r="AE7" i="2"/>
  <c r="AD7" i="2"/>
  <c r="AB7" i="2"/>
  <c r="AD6" i="2"/>
  <c r="AE6" i="2" s="1"/>
  <c r="AB6" i="2"/>
  <c r="AD5" i="2"/>
  <c r="AE5" i="2" s="1"/>
  <c r="AB5" i="2"/>
  <c r="AD4" i="2"/>
  <c r="AE4" i="2" s="1"/>
  <c r="AB4" i="2"/>
  <c r="AE3" i="2"/>
  <c r="AD3" i="2"/>
  <c r="AB3" i="2"/>
  <c r="AD2" i="2"/>
  <c r="AE2" i="2" s="1"/>
  <c r="AB2" i="2"/>
  <c r="AD8" i="1"/>
  <c r="AB8" i="1"/>
  <c r="AD6" i="1"/>
  <c r="AB6" i="1"/>
  <c r="X6" i="1"/>
  <c r="AD11" i="1"/>
  <c r="AB11" i="1"/>
  <c r="AD150" i="1"/>
  <c r="AB150" i="1"/>
  <c r="X150" i="1"/>
  <c r="AD4" i="1"/>
  <c r="AB4" i="1"/>
  <c r="X4" i="1"/>
  <c r="AD5" i="1"/>
  <c r="AB5" i="1"/>
  <c r="AD145" i="1"/>
  <c r="AB145" i="1"/>
  <c r="X145" i="1"/>
  <c r="AD144" i="1"/>
  <c r="AB144" i="1"/>
  <c r="X144" i="1"/>
  <c r="AD146" i="1"/>
  <c r="AB146" i="1"/>
  <c r="X146" i="1"/>
  <c r="AD149" i="1"/>
  <c r="AB149" i="1"/>
  <c r="X149" i="1"/>
  <c r="AD148" i="1"/>
  <c r="AB148" i="1"/>
  <c r="X148" i="1"/>
  <c r="AD10" i="1"/>
  <c r="AB10" i="1"/>
  <c r="AD143" i="1"/>
  <c r="AB143" i="1"/>
  <c r="X143" i="1"/>
  <c r="AD147" i="1"/>
  <c r="AB147" i="1"/>
  <c r="X147" i="1"/>
  <c r="AD129" i="1"/>
  <c r="AB129" i="1"/>
  <c r="X129" i="1"/>
  <c r="AD17" i="1"/>
  <c r="AB17" i="1"/>
  <c r="AD7" i="1"/>
  <c r="AB7" i="1"/>
  <c r="AD3" i="1"/>
  <c r="AB3" i="1"/>
  <c r="X3" i="1"/>
  <c r="AD177" i="1"/>
  <c r="AB177" i="1"/>
  <c r="X177" i="1"/>
  <c r="AD176" i="1"/>
  <c r="AB176" i="1"/>
  <c r="X176" i="1"/>
  <c r="AD174" i="1"/>
  <c r="AB174" i="1"/>
  <c r="X174" i="1"/>
  <c r="AD173" i="1"/>
  <c r="AB173" i="1"/>
  <c r="X173" i="1"/>
  <c r="AD172" i="1"/>
  <c r="AB172" i="1"/>
  <c r="X172" i="1"/>
  <c r="AD171" i="1"/>
  <c r="AB171" i="1"/>
  <c r="X171" i="1"/>
  <c r="AD170" i="1"/>
  <c r="AB170" i="1"/>
  <c r="X170" i="1"/>
  <c r="AD169" i="1"/>
  <c r="AB169" i="1"/>
  <c r="X169" i="1"/>
  <c r="AD168" i="1"/>
  <c r="AB168" i="1"/>
  <c r="X168" i="1"/>
  <c r="AD167" i="1"/>
  <c r="AB167" i="1"/>
  <c r="X167" i="1"/>
  <c r="AD166" i="1"/>
  <c r="AB166" i="1"/>
  <c r="X166" i="1"/>
  <c r="AD165" i="1"/>
  <c r="AB165" i="1"/>
  <c r="X165" i="1"/>
  <c r="AD164" i="1"/>
  <c r="AB164" i="1"/>
  <c r="X164" i="1"/>
  <c r="AD163" i="1"/>
  <c r="AB163" i="1"/>
  <c r="X163" i="1"/>
  <c r="AD162" i="1"/>
  <c r="AB162" i="1"/>
  <c r="X162" i="1"/>
  <c r="AD161" i="1"/>
  <c r="AB161" i="1"/>
  <c r="X161" i="1"/>
  <c r="AD159" i="1"/>
  <c r="AB159" i="1"/>
  <c r="X159" i="1"/>
  <c r="AD154" i="1"/>
  <c r="AB154" i="1"/>
  <c r="X154" i="1"/>
  <c r="AD152" i="1"/>
  <c r="AB152" i="1"/>
  <c r="X152" i="1"/>
  <c r="AD130" i="1"/>
  <c r="AB130" i="1"/>
  <c r="X130" i="1"/>
  <c r="AD156" i="1"/>
  <c r="AB156" i="1"/>
  <c r="X156" i="1"/>
  <c r="AD178" i="1"/>
  <c r="AB178" i="1"/>
  <c r="X178" i="1"/>
  <c r="AD153" i="1"/>
  <c r="AB153" i="1"/>
  <c r="X153" i="1"/>
  <c r="AD25" i="1"/>
  <c r="AB25" i="1"/>
  <c r="X25" i="1"/>
  <c r="AD23" i="1"/>
  <c r="AB23" i="1"/>
  <c r="X23" i="1"/>
  <c r="AD22" i="1"/>
  <c r="AB22" i="1"/>
  <c r="X22" i="1"/>
  <c r="AD29" i="1"/>
  <c r="AB29" i="1"/>
  <c r="X29" i="1"/>
  <c r="AD20" i="1"/>
  <c r="AB20" i="1"/>
  <c r="X20" i="1"/>
  <c r="AD19" i="1"/>
  <c r="AB19" i="1"/>
  <c r="X19" i="1"/>
  <c r="AD28" i="1"/>
  <c r="AB28" i="1"/>
  <c r="X28" i="1"/>
  <c r="AD26" i="1"/>
  <c r="AB26" i="1"/>
  <c r="AD16" i="1"/>
  <c r="AB16" i="1"/>
  <c r="X16" i="1"/>
  <c r="AD15" i="1"/>
  <c r="AB15" i="1"/>
  <c r="X15" i="1"/>
  <c r="AD14" i="1"/>
  <c r="AB14" i="1"/>
  <c r="X14" i="1"/>
  <c r="AD124" i="1"/>
  <c r="AB124" i="1"/>
  <c r="X124" i="1"/>
  <c r="AD123" i="1"/>
  <c r="AB123" i="1"/>
  <c r="X123" i="1"/>
  <c r="AD119" i="1"/>
  <c r="AB119" i="1"/>
  <c r="X119" i="1"/>
  <c r="AD122" i="1"/>
  <c r="AB122" i="1"/>
  <c r="X122" i="1"/>
  <c r="AD121" i="1"/>
  <c r="AB121" i="1"/>
  <c r="X121" i="1"/>
  <c r="AD120" i="1"/>
  <c r="AB120" i="1"/>
  <c r="X120" i="1"/>
  <c r="AD115" i="1"/>
  <c r="AB115" i="1"/>
  <c r="X115" i="1"/>
  <c r="AD118" i="1"/>
  <c r="AB118" i="1"/>
  <c r="X118" i="1"/>
  <c r="AD117" i="1"/>
  <c r="AB117" i="1"/>
  <c r="X117" i="1"/>
  <c r="AD116" i="1"/>
  <c r="AB116" i="1"/>
  <c r="X116" i="1"/>
  <c r="AD113" i="1"/>
  <c r="AB113" i="1"/>
  <c r="X113" i="1"/>
  <c r="AD112" i="1"/>
  <c r="AB112" i="1"/>
  <c r="X112" i="1"/>
  <c r="AD111" i="1"/>
  <c r="AB111" i="1"/>
  <c r="X111" i="1"/>
  <c r="AD110" i="1"/>
  <c r="AB110" i="1"/>
  <c r="X110" i="1"/>
  <c r="AD109" i="1"/>
  <c r="AB109" i="1"/>
  <c r="X109" i="1"/>
  <c r="AD108" i="1"/>
  <c r="AB108" i="1"/>
  <c r="X108" i="1"/>
  <c r="AD107" i="1"/>
  <c r="AB107" i="1"/>
  <c r="X107" i="1"/>
  <c r="AD103" i="1"/>
  <c r="AB103" i="1"/>
  <c r="X103" i="1"/>
  <c r="AD102" i="1"/>
  <c r="AB102" i="1"/>
  <c r="X102" i="1"/>
  <c r="AD106" i="1"/>
  <c r="AB106" i="1"/>
  <c r="X106" i="1"/>
  <c r="AD105" i="1"/>
  <c r="AB105" i="1"/>
  <c r="X105" i="1"/>
  <c r="AD98" i="1"/>
  <c r="AB98" i="1"/>
  <c r="X98" i="1"/>
  <c r="AD97" i="1"/>
  <c r="AB97" i="1"/>
  <c r="X97" i="1"/>
  <c r="AD96" i="1"/>
  <c r="AB96" i="1"/>
  <c r="X96" i="1"/>
  <c r="AD104" i="1"/>
  <c r="AB104" i="1"/>
  <c r="X104" i="1"/>
  <c r="AD94" i="1"/>
  <c r="AB94" i="1"/>
  <c r="X94" i="1"/>
  <c r="AD101" i="1"/>
  <c r="AB101" i="1"/>
  <c r="X101" i="1"/>
  <c r="AD99" i="1"/>
  <c r="AB99" i="1"/>
  <c r="X99" i="1"/>
  <c r="AD95" i="1"/>
  <c r="AB95" i="1"/>
  <c r="X95" i="1"/>
  <c r="AD93" i="1"/>
  <c r="AB93" i="1"/>
  <c r="X93" i="1"/>
  <c r="AD91" i="1"/>
  <c r="AB91" i="1"/>
  <c r="X91" i="1"/>
  <c r="AD90" i="1"/>
  <c r="AB90" i="1"/>
  <c r="X90" i="1"/>
  <c r="AD86" i="1"/>
  <c r="AB86" i="1"/>
  <c r="X86" i="1"/>
  <c r="AD89" i="1"/>
  <c r="AB89" i="1"/>
  <c r="X89" i="1"/>
  <c r="AD88" i="1"/>
  <c r="AB88" i="1"/>
  <c r="X88" i="1"/>
  <c r="AD83" i="1"/>
  <c r="AB83" i="1"/>
  <c r="X83" i="1"/>
  <c r="AD82" i="1"/>
  <c r="AB82" i="1"/>
  <c r="X82" i="1"/>
  <c r="AD87" i="1"/>
  <c r="AB87" i="1"/>
  <c r="X87" i="1"/>
  <c r="AD85" i="1"/>
  <c r="AB85" i="1"/>
  <c r="X85" i="1"/>
  <c r="AD84" i="1"/>
  <c r="AB84" i="1"/>
  <c r="X84" i="1"/>
  <c r="AD80" i="1"/>
  <c r="AB80" i="1"/>
  <c r="X80" i="1"/>
  <c r="AD79" i="1"/>
  <c r="AB79" i="1"/>
  <c r="X79" i="1"/>
  <c r="AD78" i="1"/>
  <c r="AB78" i="1"/>
  <c r="X78" i="1"/>
  <c r="AD77" i="1"/>
  <c r="AB77" i="1"/>
  <c r="X77" i="1"/>
  <c r="AD76" i="1"/>
  <c r="AB76" i="1"/>
  <c r="X76" i="1"/>
  <c r="AD75" i="1"/>
  <c r="AB75" i="1"/>
  <c r="X75" i="1"/>
  <c r="AD74" i="1"/>
  <c r="AB74" i="1"/>
  <c r="X74" i="1"/>
  <c r="AD73" i="1"/>
  <c r="AB73" i="1"/>
  <c r="X73" i="1"/>
  <c r="AD69" i="1"/>
  <c r="AB69" i="1"/>
  <c r="X69" i="1"/>
  <c r="AD68" i="1"/>
  <c r="AB68" i="1"/>
  <c r="X68" i="1"/>
  <c r="AD72" i="1"/>
  <c r="AB72" i="1"/>
  <c r="X72" i="1"/>
  <c r="AD65" i="1"/>
  <c r="AB65" i="1"/>
  <c r="X65" i="1"/>
  <c r="AD64" i="1"/>
  <c r="AB64" i="1"/>
  <c r="X64" i="1"/>
  <c r="AD63" i="1"/>
  <c r="AB63" i="1"/>
  <c r="X63" i="1"/>
  <c r="AD62" i="1"/>
  <c r="AB62" i="1"/>
  <c r="X62" i="1"/>
  <c r="AD61" i="1"/>
  <c r="AB61" i="1"/>
  <c r="X61" i="1"/>
  <c r="AD60" i="1"/>
  <c r="AB60" i="1"/>
  <c r="X60" i="1"/>
  <c r="AD59" i="1"/>
  <c r="AB59" i="1"/>
  <c r="X59" i="1"/>
  <c r="AD58" i="1"/>
  <c r="AB58" i="1"/>
  <c r="X58" i="1"/>
  <c r="AD57" i="1"/>
  <c r="AB57" i="1"/>
  <c r="X57" i="1"/>
  <c r="AD71" i="1"/>
  <c r="AB71" i="1"/>
  <c r="X71" i="1"/>
  <c r="AD54" i="1"/>
  <c r="AB54" i="1"/>
  <c r="X54" i="1"/>
  <c r="AD53" i="1"/>
  <c r="AB53" i="1"/>
  <c r="X53" i="1"/>
  <c r="AD52" i="1"/>
  <c r="AB52" i="1"/>
  <c r="X52" i="1"/>
  <c r="AD51" i="1"/>
  <c r="AB51" i="1"/>
  <c r="X51" i="1"/>
  <c r="AD50" i="1"/>
  <c r="AB50" i="1"/>
  <c r="X50" i="1"/>
  <c r="AD49" i="1"/>
  <c r="AB49" i="1"/>
  <c r="X49" i="1"/>
  <c r="AD48" i="1"/>
  <c r="AB48" i="1"/>
  <c r="X48" i="1"/>
  <c r="AD47" i="1"/>
  <c r="AB47" i="1"/>
  <c r="X47" i="1"/>
  <c r="AD70" i="1"/>
  <c r="AB70" i="1"/>
  <c r="X70" i="1"/>
  <c r="AD55" i="1"/>
  <c r="AB55" i="1"/>
  <c r="X55" i="1"/>
  <c r="AD46" i="1"/>
  <c r="AB46" i="1"/>
  <c r="X46" i="1"/>
  <c r="AD42" i="1"/>
  <c r="AB42" i="1"/>
  <c r="X42" i="1"/>
  <c r="AD45" i="1"/>
  <c r="AB45" i="1"/>
  <c r="X45" i="1"/>
  <c r="AD44" i="1"/>
  <c r="AB44" i="1"/>
  <c r="X44" i="1"/>
  <c r="AD43" i="1"/>
  <c r="AB43" i="1"/>
  <c r="X43" i="1"/>
  <c r="AD41" i="1"/>
  <c r="AB41" i="1"/>
  <c r="X41" i="1"/>
  <c r="AD40" i="1"/>
  <c r="AB40" i="1"/>
  <c r="X40" i="1"/>
  <c r="AD39" i="1"/>
  <c r="AB39" i="1"/>
  <c r="X39" i="1"/>
  <c r="AD38" i="1"/>
  <c r="AB38" i="1"/>
  <c r="X38" i="1"/>
  <c r="AD37" i="1"/>
  <c r="AB37" i="1"/>
  <c r="X37" i="1"/>
  <c r="AD36" i="1"/>
  <c r="AB36" i="1"/>
  <c r="X36" i="1"/>
  <c r="AD31" i="1"/>
  <c r="AB31" i="1"/>
  <c r="X31" i="1"/>
  <c r="AD30" i="1"/>
  <c r="AB30" i="1"/>
  <c r="X30" i="1"/>
  <c r="AD35" i="1"/>
  <c r="AB35" i="1"/>
  <c r="X35" i="1"/>
  <c r="AD33" i="1"/>
  <c r="AB33" i="1"/>
  <c r="X33" i="1"/>
  <c r="AD27" i="1"/>
  <c r="AB27" i="1"/>
  <c r="X27" i="1"/>
  <c r="AD32" i="1"/>
  <c r="AB32" i="1"/>
  <c r="X32" i="1"/>
  <c r="AD24" i="1"/>
  <c r="AB24" i="1"/>
  <c r="X24" i="1"/>
  <c r="AD21" i="1"/>
  <c r="AB21" i="1"/>
  <c r="AD114" i="1"/>
  <c r="AB114" i="1"/>
  <c r="X114" i="1"/>
  <c r="AD100" i="1"/>
  <c r="AB100" i="1"/>
  <c r="X100" i="1"/>
  <c r="AD92" i="1"/>
  <c r="AB92" i="1"/>
  <c r="X92" i="1"/>
  <c r="AD81" i="1"/>
  <c r="AB81" i="1"/>
  <c r="X81" i="1"/>
  <c r="AD67" i="1"/>
  <c r="AB67" i="1"/>
  <c r="X67" i="1"/>
  <c r="AD56" i="1"/>
  <c r="AB56" i="1"/>
  <c r="X56" i="1"/>
  <c r="AD66" i="1"/>
  <c r="AB66" i="1"/>
  <c r="X66" i="1"/>
  <c r="AD34" i="1"/>
  <c r="AB34" i="1"/>
  <c r="X34" i="1"/>
  <c r="AG3" i="1"/>
  <c r="AD12" i="1"/>
  <c r="AB12" i="1"/>
  <c r="X12" i="1"/>
  <c r="AQ114" i="1" l="1"/>
  <c r="AQ37" i="1"/>
  <c r="AQ39" i="1"/>
  <c r="AE34" i="1"/>
  <c r="AE67" i="1"/>
  <c r="AE98" i="1"/>
  <c r="AE49" i="1"/>
  <c r="AE119" i="1"/>
  <c r="AE27" i="1"/>
  <c r="AE51" i="1"/>
  <c r="AE23" i="1"/>
  <c r="AE12" i="1"/>
  <c r="AE15" i="1"/>
  <c r="AE54" i="1"/>
  <c r="AE6" i="1"/>
  <c r="AE94" i="1"/>
  <c r="AE57" i="1"/>
  <c r="AE103" i="1"/>
  <c r="AE63" i="1"/>
  <c r="AE56" i="1"/>
  <c r="AE86" i="1"/>
  <c r="AE53" i="1"/>
  <c r="AE50" i="1"/>
  <c r="AE62" i="1"/>
  <c r="AE68" i="1"/>
  <c r="AE102" i="1"/>
  <c r="AE96" i="1"/>
  <c r="AE58" i="1"/>
  <c r="AE97" i="1"/>
  <c r="AE115" i="1"/>
  <c r="AE130" i="1"/>
  <c r="AE42" i="1"/>
  <c r="AE129" i="1"/>
  <c r="AE31" i="1"/>
  <c r="AE19" i="1"/>
  <c r="AE4" i="1"/>
  <c r="AE82" i="1"/>
  <c r="AE24" i="1"/>
  <c r="AE30" i="1"/>
  <c r="AE47" i="1"/>
  <c r="AE52" i="1"/>
  <c r="AE14" i="1"/>
  <c r="AE69" i="1"/>
  <c r="AE25" i="1"/>
  <c r="AE48" i="1"/>
  <c r="AE59" i="1"/>
  <c r="AE64" i="1"/>
  <c r="AE20" i="1"/>
  <c r="AE153" i="1"/>
  <c r="AE100" i="1"/>
  <c r="AE60" i="1"/>
  <c r="AE65" i="1"/>
  <c r="AE16" i="1"/>
  <c r="AE61" i="1"/>
  <c r="AE22" i="1"/>
  <c r="AE83" i="1"/>
</calcChain>
</file>

<file path=xl/sharedStrings.xml><?xml version="1.0" encoding="utf-8"?>
<sst xmlns="http://schemas.openxmlformats.org/spreadsheetml/2006/main" count="3610" uniqueCount="424">
  <si>
    <t>Catalog</t>
  </si>
  <si>
    <t>Object</t>
  </si>
  <si>
    <t>Common Name (if any)</t>
  </si>
  <si>
    <t>Typical Best Visibility (N. Hemisphere)</t>
  </si>
  <si>
    <t>Imaged?</t>
  </si>
  <si>
    <t>Notes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</si>
  <si>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</si>
  <si>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</si>
  <si>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</si>
  <si>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</si>
  <si>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</si>
  <si>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</si>
  <si>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</si>
  <si>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</si>
  <si>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</si>
  <si>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</si>
  <si>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</si>
  <si>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</si>
  <si>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Angular Size (arcmin)</t>
  </si>
  <si>
    <t>Integration Time (min)</t>
  </si>
  <si>
    <t>Gain / Mode</t>
  </si>
  <si>
    <t>Re-image?</t>
  </si>
  <si>
    <t>Seestar Suitability (1-5)</t>
  </si>
  <si>
    <t>Mosaic Needed?</t>
  </si>
  <si>
    <t>Object Type</t>
  </si>
  <si>
    <t>Surface Brightness Class</t>
  </si>
  <si>
    <t>Moon Tolerance</t>
  </si>
  <si>
    <t>Recommended Integration (min)</t>
  </si>
  <si>
    <t>Altitude Priority</t>
  </si>
  <si>
    <t>Smart Suitability (1-10)</t>
  </si>
  <si>
    <t>Tonight's Pick</t>
  </si>
  <si>
    <t>Current Month</t>
  </si>
  <si>
    <t>Pick Month Column</t>
  </si>
  <si>
    <t>RA (hours)</t>
  </si>
  <si>
    <t>Dec (deg)</t>
  </si>
  <si>
    <t>Transit Month (best)</t>
  </si>
  <si>
    <t>Best Hour (local)</t>
  </si>
  <si>
    <t>Tonight: Up? (&gt;=20°)</t>
  </si>
  <si>
    <t>Tonight: Best time (local)</t>
  </si>
  <si>
    <t>Tonight: Max Alt (deg)</t>
  </si>
  <si>
    <t>Messier</t>
  </si>
  <si>
    <t>M 1</t>
  </si>
  <si>
    <t>Crab Nebula</t>
  </si>
  <si>
    <t>Jan–Mar</t>
  </si>
  <si>
    <t>Yes</t>
  </si>
  <si>
    <t>✔</t>
  </si>
  <si>
    <t>Emission Nebula</t>
  </si>
  <si>
    <t>High (easy)</t>
  </si>
  <si>
    <t>Medium</t>
  </si>
  <si>
    <t>High (best &gt;50°)</t>
  </si>
  <si>
    <t>(auto)</t>
  </si>
  <si>
    <t>21:40</t>
  </si>
  <si>
    <t>22:40</t>
  </si>
  <si>
    <t>M 2</t>
  </si>
  <si>
    <t>Globular Cluster</t>
  </si>
  <si>
    <t>Aug–Oct</t>
  </si>
  <si>
    <t>High (OK with Moon)</t>
  </si>
  <si>
    <t>No</t>
  </si>
  <si>
    <t>19:00</t>
  </si>
  <si>
    <t>M 3</t>
  </si>
  <si>
    <t>May–Jul</t>
  </si>
  <si>
    <t>21:50</t>
  </si>
  <si>
    <t>03:00</t>
  </si>
  <si>
    <t>M 4</t>
  </si>
  <si>
    <t>22:30</t>
  </si>
  <si>
    <t>M 5</t>
  </si>
  <si>
    <t>21:30</t>
  </si>
  <si>
    <t>M 6</t>
  </si>
  <si>
    <t>Butterfly Cluster</t>
  </si>
  <si>
    <t>Year-round</t>
  </si>
  <si>
    <t>Open Cluster</t>
  </si>
  <si>
    <t>Low (OK)</t>
  </si>
  <si>
    <t>M 7</t>
  </si>
  <si>
    <t>Ptolemy Cluster</t>
  </si>
  <si>
    <t>M 8</t>
  </si>
  <si>
    <t>Lagoon Nebula</t>
  </si>
  <si>
    <t>Jun–Aug</t>
  </si>
  <si>
    <t>22:10</t>
  </si>
  <si>
    <t>M 9</t>
  </si>
  <si>
    <t>M 10</t>
  </si>
  <si>
    <t>21:10</t>
  </si>
  <si>
    <t>M 11</t>
  </si>
  <si>
    <t>Wild Duck Cluster</t>
  </si>
  <si>
    <t>23:00</t>
  </si>
  <si>
    <t>M 12</t>
  </si>
  <si>
    <t>M 13</t>
  </si>
  <si>
    <t>Hercules Globular</t>
  </si>
  <si>
    <t>22:50</t>
  </si>
  <si>
    <t>M 14</t>
  </si>
  <si>
    <t>M 15</t>
  </si>
  <si>
    <t>M 16</t>
  </si>
  <si>
    <t>Eagle Nebula</t>
  </si>
  <si>
    <t>M 17</t>
  </si>
  <si>
    <t>Omega Nebula</t>
  </si>
  <si>
    <t>M 18</t>
  </si>
  <si>
    <t>M 19</t>
  </si>
  <si>
    <t>M 20</t>
  </si>
  <si>
    <t>Trifid Nebula</t>
  </si>
  <si>
    <t>M 21</t>
  </si>
  <si>
    <t>M 22</t>
  </si>
  <si>
    <t>Sagittarius Globular</t>
  </si>
  <si>
    <t>M 23</t>
  </si>
  <si>
    <t>M 24</t>
  </si>
  <si>
    <t>Sagittarius Star Cloud</t>
  </si>
  <si>
    <t>Asterism</t>
  </si>
  <si>
    <t>M 25</t>
  </si>
  <si>
    <t>M 26</t>
  </si>
  <si>
    <t>M 27</t>
  </si>
  <si>
    <t>Dumbbell Nebula</t>
  </si>
  <si>
    <t>Jul–Sep</t>
  </si>
  <si>
    <t>M 28</t>
  </si>
  <si>
    <t>M 29</t>
  </si>
  <si>
    <t>M 30</t>
  </si>
  <si>
    <t>M 31</t>
  </si>
  <si>
    <t>Andromeda Galaxy</t>
  </si>
  <si>
    <t>Aug–Nov</t>
  </si>
  <si>
    <t>Galaxy</t>
  </si>
  <si>
    <t>Low (needs dark)</t>
  </si>
  <si>
    <t>M 32</t>
  </si>
  <si>
    <t>Satellite of M31</t>
  </si>
  <si>
    <t>M 33</t>
  </si>
  <si>
    <t>Triangulum Galaxy</t>
  </si>
  <si>
    <t>M 34</t>
  </si>
  <si>
    <t>Oct–Dec</t>
  </si>
  <si>
    <t>M 35</t>
  </si>
  <si>
    <t>Dec–Feb</t>
  </si>
  <si>
    <t>M 36</t>
  </si>
  <si>
    <t>M 37</t>
  </si>
  <si>
    <t>M 38</t>
  </si>
  <si>
    <t>M 39</t>
  </si>
  <si>
    <t>M 40</t>
  </si>
  <si>
    <t>Double Star</t>
  </si>
  <si>
    <t>Year‑round</t>
  </si>
  <si>
    <t>M 41</t>
  </si>
  <si>
    <t>M 42</t>
  </si>
  <si>
    <t>Orion Nebula</t>
  </si>
  <si>
    <t>Dec–Mar</t>
  </si>
  <si>
    <t>M 43</t>
  </si>
  <si>
    <t>De Mairan's Nebula</t>
  </si>
  <si>
    <t>M 44</t>
  </si>
  <si>
    <t>Beehive Cluster</t>
  </si>
  <si>
    <t>Feb–Apr</t>
  </si>
  <si>
    <t>M 45</t>
  </si>
  <si>
    <t>Pleiades</t>
  </si>
  <si>
    <t>Nov–Feb</t>
  </si>
  <si>
    <t>20:50</t>
  </si>
  <si>
    <t>M 46</t>
  </si>
  <si>
    <t>00:40</t>
  </si>
  <si>
    <t>M 47</t>
  </si>
  <si>
    <t>M 48</t>
  </si>
  <si>
    <t>01:20</t>
  </si>
  <si>
    <t>M 49</t>
  </si>
  <si>
    <t>Virgo Elliptical Galaxy</t>
  </si>
  <si>
    <t>M 50</t>
  </si>
  <si>
    <t>21:00</t>
  </si>
  <si>
    <t>00:10</t>
  </si>
  <si>
    <t>M 51</t>
  </si>
  <si>
    <t>Whirlpool Galaxy</t>
  </si>
  <si>
    <t>Apr–Jun</t>
  </si>
  <si>
    <t>M 52</t>
  </si>
  <si>
    <t>M 53</t>
  </si>
  <si>
    <t>21:20</t>
  </si>
  <si>
    <t>M 54</t>
  </si>
  <si>
    <t>M 55</t>
  </si>
  <si>
    <t>M 56</t>
  </si>
  <si>
    <t>M 57</t>
  </si>
  <si>
    <t>Ring Nebula</t>
  </si>
  <si>
    <t>Planetary Nebula</t>
  </si>
  <si>
    <t>M 58</t>
  </si>
  <si>
    <t>M 59</t>
  </si>
  <si>
    <t>M 60</t>
  </si>
  <si>
    <t>M 61</t>
  </si>
  <si>
    <t>M 62</t>
  </si>
  <si>
    <t>M 63</t>
  </si>
  <si>
    <t>Sunflower Galaxy</t>
  </si>
  <si>
    <t>M 64</t>
  </si>
  <si>
    <t>Black Eye Galaxy</t>
  </si>
  <si>
    <t>M 65</t>
  </si>
  <si>
    <t>Leo Spiral Galaxy</t>
  </si>
  <si>
    <t>Mar–Jun</t>
  </si>
  <si>
    <t>M 66</t>
  </si>
  <si>
    <t>M 67</t>
  </si>
  <si>
    <t>01:50</t>
  </si>
  <si>
    <t>M 68</t>
  </si>
  <si>
    <t>M 69</t>
  </si>
  <si>
    <t>M 70</t>
  </si>
  <si>
    <t>M 71</t>
  </si>
  <si>
    <t>M 72</t>
  </si>
  <si>
    <t>M 73</t>
  </si>
  <si>
    <t>M 74</t>
  </si>
  <si>
    <t>Spiral Galaxy</t>
  </si>
  <si>
    <t>M 75</t>
  </si>
  <si>
    <t>M 76</t>
  </si>
  <si>
    <t>Little Dumbbell</t>
  </si>
  <si>
    <t>M 77</t>
  </si>
  <si>
    <t>Seyfert Galaxy</t>
  </si>
  <si>
    <t>M 78</t>
  </si>
  <si>
    <t>Reflection Nebula</t>
  </si>
  <si>
    <t>M 79</t>
  </si>
  <si>
    <t>M 80</t>
  </si>
  <si>
    <t>M 81</t>
  </si>
  <si>
    <t>Bode’s Galaxy</t>
  </si>
  <si>
    <t>Mar–May</t>
  </si>
  <si>
    <t>M 82</t>
  </si>
  <si>
    <t>Cigar Galaxy</t>
  </si>
  <si>
    <t>M 83</t>
  </si>
  <si>
    <t>M 84</t>
  </si>
  <si>
    <t>M 85</t>
  </si>
  <si>
    <t>M 86</t>
  </si>
  <si>
    <t>M 87</t>
  </si>
  <si>
    <t>M 88</t>
  </si>
  <si>
    <t>M 89</t>
  </si>
  <si>
    <t>M 90</t>
  </si>
  <si>
    <t>M 91</t>
  </si>
  <si>
    <t>M 92</t>
  </si>
  <si>
    <t>M 93</t>
  </si>
  <si>
    <t>M 94</t>
  </si>
  <si>
    <t>M 95</t>
  </si>
  <si>
    <t>Barred Spiral Galaxy</t>
  </si>
  <si>
    <t>M 96</t>
  </si>
  <si>
    <t>M 97</t>
  </si>
  <si>
    <t>Owl Nebula</t>
  </si>
  <si>
    <t>M 98</t>
  </si>
  <si>
    <t>22:20</t>
  </si>
  <si>
    <t>M 99</t>
  </si>
  <si>
    <t>M 100</t>
  </si>
  <si>
    <t>M 101</t>
  </si>
  <si>
    <t>Pinwheel Galaxy</t>
  </si>
  <si>
    <t>M 102</t>
  </si>
  <si>
    <t>Spindle Galaxy</t>
  </si>
  <si>
    <t>M 103</t>
  </si>
  <si>
    <t>M 104</t>
  </si>
  <si>
    <t>Sombrero Galaxy</t>
  </si>
  <si>
    <t>M 105</t>
  </si>
  <si>
    <t>Elliptical Galaxy</t>
  </si>
  <si>
    <t>M 106</t>
  </si>
  <si>
    <t>M 107</t>
  </si>
  <si>
    <t>M 108</t>
  </si>
  <si>
    <t>M 109</t>
  </si>
  <si>
    <t>M 110</t>
  </si>
  <si>
    <t>NGC</t>
  </si>
  <si>
    <t>NGC 869</t>
  </si>
  <si>
    <t>Double Cluster (h Persei)</t>
  </si>
  <si>
    <t>Oct–Jan</t>
  </si>
  <si>
    <t>NGC 884</t>
  </si>
  <si>
    <t>Double Cluster (χ Persei)</t>
  </si>
  <si>
    <t>NGC 253</t>
  </si>
  <si>
    <t>Sculptor Galaxy</t>
  </si>
  <si>
    <t>Sep–Dec</t>
  </si>
  <si>
    <t>NGC 2244</t>
  </si>
  <si>
    <t>Rosette Cluster</t>
  </si>
  <si>
    <t>NGC 2392</t>
  </si>
  <si>
    <t>Eskimo Nebula</t>
  </si>
  <si>
    <t>NGC 2419</t>
  </si>
  <si>
    <t>Intergalactic Wanderer</t>
  </si>
  <si>
    <t>Jan–Apr</t>
  </si>
  <si>
    <t>NGC 2683</t>
  </si>
  <si>
    <t>Edge-on Galaxy</t>
  </si>
  <si>
    <t>NGC 2903</t>
  </si>
  <si>
    <t>NGC 3077</t>
  </si>
  <si>
    <t>NGC 3115</t>
  </si>
  <si>
    <t>NGC 3242</t>
  </si>
  <si>
    <t>Ghost of Jupiter</t>
  </si>
  <si>
    <t>NGC 3628</t>
  </si>
  <si>
    <t>Hamburger Galaxy</t>
  </si>
  <si>
    <t>NGC 4565</t>
  </si>
  <si>
    <t>Needle Galaxy</t>
  </si>
  <si>
    <t>NGC 4631</t>
  </si>
  <si>
    <t>Whale Galaxy</t>
  </si>
  <si>
    <t>NGC 4656</t>
  </si>
  <si>
    <t>Hockey Stick Galaxy</t>
  </si>
  <si>
    <t>NGC 4736</t>
  </si>
  <si>
    <t>M94 group (also M94)</t>
  </si>
  <si>
    <t>NGC 4755</t>
  </si>
  <si>
    <t>Jewel Box (southern)</t>
  </si>
  <si>
    <t>NGC 5907</t>
  </si>
  <si>
    <t>Splinter Galaxy</t>
  </si>
  <si>
    <t>NGC 6210</t>
  </si>
  <si>
    <t>NGC 6543</t>
  </si>
  <si>
    <t>Cat's Eye Nebula</t>
  </si>
  <si>
    <t>Jun–Sep</t>
  </si>
  <si>
    <t>NGC 6960</t>
  </si>
  <si>
    <t>Veil Nebula (Witch's Broom)</t>
  </si>
  <si>
    <t>NGC 7129</t>
  </si>
  <si>
    <t>NGC 7814</t>
  </si>
  <si>
    <t>Little Sombrero</t>
  </si>
  <si>
    <t>Sep–Nov</t>
  </si>
  <si>
    <t>IC</t>
  </si>
  <si>
    <t>IC 1396</t>
  </si>
  <si>
    <t>Elephant Trunk Region</t>
  </si>
  <si>
    <t>IC 342</t>
  </si>
  <si>
    <t>Hidden Galaxy</t>
  </si>
  <si>
    <t>IC 59</t>
  </si>
  <si>
    <t>Galaxy near M31</t>
  </si>
  <si>
    <t>NGC 2175</t>
  </si>
  <si>
    <t>Monkey Head Nebula</t>
  </si>
  <si>
    <t>NGC 2024</t>
  </si>
  <si>
    <t>Flame Nebula</t>
  </si>
  <si>
    <t>NGC 1977</t>
  </si>
  <si>
    <t>Running Man Nebula</t>
  </si>
  <si>
    <t>IC 434</t>
  </si>
  <si>
    <t>Horsehead Region (IC 434)</t>
  </si>
  <si>
    <t>NGC 2068</t>
  </si>
  <si>
    <t>M78 Region (NGC 2068)</t>
  </si>
  <si>
    <t>NGC 2071</t>
  </si>
  <si>
    <t>NGC 1999</t>
  </si>
  <si>
    <t>NGC 1980</t>
  </si>
  <si>
    <t>Orion's Sword Cluster</t>
  </si>
  <si>
    <t>NGC 1981</t>
  </si>
  <si>
    <t>IC 2169</t>
  </si>
  <si>
    <t>37 Cluster</t>
  </si>
  <si>
    <t>IC 2177</t>
  </si>
  <si>
    <t>Nebula near Monkey Head</t>
  </si>
  <si>
    <t>NGC 2264</t>
  </si>
  <si>
    <t>Cone / Christmas Tree</t>
  </si>
  <si>
    <t>IC 447</t>
  </si>
  <si>
    <t>IC 405</t>
  </si>
  <si>
    <t>Flaming Star Nebula</t>
  </si>
  <si>
    <t>IC 410</t>
  </si>
  <si>
    <t>Tadpoles Nebula</t>
  </si>
  <si>
    <t>NGC 147</t>
  </si>
  <si>
    <t>Dwarf Galaxy</t>
  </si>
  <si>
    <t>NGC 281</t>
  </si>
  <si>
    <t>Pacman Nebula</t>
  </si>
  <si>
    <t>NGC 891</t>
  </si>
  <si>
    <t>Edge‑on Galaxy</t>
  </si>
  <si>
    <t>NGC 1499</t>
  </si>
  <si>
    <t>California Nebula</t>
  </si>
  <si>
    <t>NGC 1746</t>
  </si>
  <si>
    <t>NGC 6888</t>
  </si>
  <si>
    <t>Crescent Nebula</t>
  </si>
  <si>
    <t>NGC 6946</t>
  </si>
  <si>
    <t>Fireworks Galaxy</t>
  </si>
  <si>
    <t>NGC 6992</t>
  </si>
  <si>
    <t>Veil Nebula</t>
  </si>
  <si>
    <t>NGC 7000</t>
  </si>
  <si>
    <t>North America Nebula</t>
  </si>
  <si>
    <t>NGC 7023</t>
  </si>
  <si>
    <t>Iris Nebula</t>
  </si>
  <si>
    <t>NGC 7293</t>
  </si>
  <si>
    <t>Helix Nebula</t>
  </si>
  <si>
    <t>NGC 7331</t>
  </si>
  <si>
    <t>NGC 7635</t>
  </si>
  <si>
    <t>Bubble Nebula</t>
  </si>
  <si>
    <t>IC 63</t>
  </si>
  <si>
    <t>Ghost of Cassiopeia</t>
  </si>
  <si>
    <t>IC 1805</t>
  </si>
  <si>
    <t>Heart Nebula</t>
  </si>
  <si>
    <t>Oct–Feb</t>
  </si>
  <si>
    <t>IC 1848</t>
  </si>
  <si>
    <t>Soul Nebula</t>
  </si>
  <si>
    <t>Flaming Star</t>
  </si>
  <si>
    <t>Horsehead Region</t>
  </si>
  <si>
    <t>IC 5146</t>
  </si>
  <si>
    <t>Cocoon Nebula</t>
  </si>
  <si>
    <t>Sharpless</t>
  </si>
  <si>
    <t>Sh2‑129</t>
  </si>
  <si>
    <t>Flying Bat / Squid</t>
  </si>
  <si>
    <t>Jul–Oct</t>
  </si>
  <si>
    <t>Sh2‑142</t>
  </si>
  <si>
    <t>Sh2‑157</t>
  </si>
  <si>
    <t>Lobster Claw</t>
  </si>
  <si>
    <t>Caldwell</t>
  </si>
  <si>
    <t>C 6</t>
  </si>
  <si>
    <t>C 11</t>
  </si>
  <si>
    <t>C 22</t>
  </si>
  <si>
    <t>Blue Snowball</t>
  </si>
  <si>
    <t>C 23</t>
  </si>
  <si>
    <t>Caroline’s Rose</t>
  </si>
  <si>
    <t>C 31</t>
  </si>
  <si>
    <t>C 39</t>
  </si>
  <si>
    <t>C 49</t>
  </si>
  <si>
    <t>Rosette Nebula</t>
  </si>
  <si>
    <t>Star</t>
  </si>
  <si>
    <t>Polaris</t>
  </si>
  <si>
    <t>North Star</t>
  </si>
  <si>
    <t>Aldebaran</t>
  </si>
  <si>
    <t>Alpha Tauri</t>
  </si>
  <si>
    <t>Alcyone</t>
  </si>
  <si>
    <t>Pleiades Core</t>
  </si>
  <si>
    <t>Planet</t>
  </si>
  <si>
    <t>Neptune</t>
  </si>
  <si>
    <t>Yes, collect 3-4 hours</t>
  </si>
  <si>
    <t>not necessary</t>
  </si>
  <si>
    <t>Yes on dark night</t>
  </si>
  <si>
    <t>IC 417</t>
  </si>
  <si>
    <t>NGC 1931</t>
  </si>
  <si>
    <t>Winter</t>
  </si>
  <si>
    <t>Moderate</t>
  </si>
  <si>
    <t>Low</t>
  </si>
  <si>
    <t>Fly Nebula</t>
  </si>
  <si>
    <t>Emission/Reflection Nebula</t>
  </si>
  <si>
    <t>Feb-Mar</t>
  </si>
  <si>
    <t>Fall/Winter</t>
  </si>
  <si>
    <t>Mar-Apr</t>
  </si>
  <si>
    <t>Summer</t>
  </si>
  <si>
    <t>Reflection/Emission Nebula</t>
  </si>
  <si>
    <t>Oct-Nov</t>
  </si>
  <si>
    <t>Spider Nebula</t>
  </si>
  <si>
    <t>Winter/Spring</t>
  </si>
  <si>
    <t>37x19</t>
  </si>
  <si>
    <t>NGC 2359</t>
  </si>
  <si>
    <t>Thors Helmet</t>
  </si>
  <si>
    <t>Jan-Feb</t>
  </si>
  <si>
    <t>Dec-Mar</t>
  </si>
  <si>
    <t>Compact H II region near NGC 1931; good Seestar validation target; brighter than IC 410</t>
  </si>
  <si>
    <t>Seestar Deep Sky</t>
  </si>
  <si>
    <t>Emission Nebula (H II)</t>
  </si>
  <si>
    <t>Moderate (avoid &gt;50%)</t>
  </si>
  <si>
    <t>SH2-235</t>
  </si>
  <si>
    <t>postprocess</t>
  </si>
  <si>
    <t>Emission / Reflection</t>
  </si>
  <si>
    <t>Hercules Globular Cluster</t>
  </si>
  <si>
    <t>Y</t>
  </si>
  <si>
    <t>LP</t>
  </si>
  <si>
    <t>Bright</t>
  </si>
  <si>
    <t>High</t>
  </si>
  <si>
    <t>N</t>
  </si>
  <si>
    <t>Open Cluster / Reflection</t>
  </si>
  <si>
    <t>Autumn</t>
  </si>
  <si>
    <t>Faint</t>
  </si>
  <si>
    <t>Spring</t>
  </si>
  <si>
    <t>Altitude score</t>
  </si>
  <si>
    <t>Pick at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</si>
</sst>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20" fontId="0" fillId="0" borderId="0" xfId="0" applyNumberFormat="1"/>
    <xf numFmtId="2" fontId="0" fillId="0" borderId="0" xfId="0" applyNumberFormat="1"/>
    <xf numFmtId="167" fontId="0" fillId="0" borderId="0" xfId="1" applyNumberFormat="1" applyFont="1"/>
    <xf numFmtId="0" fontId="0" fillId="0" borderId="0" xfId="0" applyAlignment="1">
      <alignment wrapText="1"/>
    </xf>
    <xf numFmtId="167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Z179"/>
  <sheetViews>
    <sheetView tabSelected="1" topLeftCell="AC1" workbookViewId="0">
      <pane ySplit="1" topLeftCell="A2" activePane="bottomLeft" state="frozen"/>
      <selection pane="bottomLeft" activeCell="AQ3" sqref="AQ3:AQ178"/>
    </sheetView>
  </sheetViews>
  <sheetFormatPr defaultRowHeight="14.4" x14ac:dyDescent="0.3"/>
  <cols>
    <col min="2" max="2" width="14.109375" bestFit="1" customWidth="1"/>
    <col min="3" max="3" width="24.109375" bestFit="1" customWidth="1"/>
    <col min="25" max="25" width="15.88671875" bestFit="1" customWidth="1"/>
    <col min="38" max="38" width="11.77734375" customWidth="1"/>
    <col min="39" max="39" width="8" customWidth="1"/>
    <col min="40" max="40" width="11.109375" customWidth="1"/>
    <col min="41" max="41" width="9.88671875" customWidth="1"/>
    <col min="43" max="43" width="15.33203125" bestFit="1" customWidth="1"/>
  </cols>
  <sheetData>
    <row r="1" spans="1:52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422</v>
      </c>
      <c r="AQ1" s="6" t="s">
        <v>423</v>
      </c>
      <c r="AZ1">
        <v>-86.8</v>
      </c>
    </row>
    <row r="2" spans="1:52" x14ac:dyDescent="0.3">
      <c r="B2" s="4"/>
    </row>
    <row r="3" spans="1:52" x14ac:dyDescent="0.3">
      <c r="A3" t="s">
        <v>287</v>
      </c>
      <c r="B3" t="s">
        <v>288</v>
      </c>
      <c r="C3" t="s">
        <v>289</v>
      </c>
      <c r="D3" t="s">
        <v>115</v>
      </c>
      <c r="E3" t="s">
        <v>57</v>
      </c>
      <c r="N3" t="s">
        <v>45</v>
      </c>
      <c r="O3" t="s">
        <v>45</v>
      </c>
      <c r="P3" t="s">
        <v>45</v>
      </c>
      <c r="Q3" t="s">
        <v>45</v>
      </c>
      <c r="S3">
        <v>170</v>
      </c>
      <c r="X3" t="str">
        <f t="shared" ref="X3:X13" si="0">IF(S3="", "", IF(S3&gt;78,"Yes","No"))</f>
        <v>Yes</v>
      </c>
      <c r="Y3" t="s">
        <v>46</v>
      </c>
      <c r="AB3">
        <f t="shared" ref="AB3:AB8" si="1">IF(Y3="Emission Nebula",90,IF(Y3="Reflection Nebula",75,IF(Y3="Planetary Nebula",60,IF(Y3="Galaxy",90,IF(Y3="Globular Cluster",30,IF(Y3="Open Cluster",20,IF(Y3="Comet",20,IF(Y3="Planet",10,IF(Y3="Star",5,45)))))))))</f>
        <v>90</v>
      </c>
      <c r="AD3">
        <f t="shared" ref="AD3:AD12" si="2">MAX(1,MIN(10,ROUND((IF(S3="",5,IF(S3&lt;3,2,IF(S3&lt;10,4,IF(S3&lt;=70,8,IF(S3&lt;=100,6,4))))))+IF(Y3="Emission Nebula",2,IF(Y3="Open Cluster",2,IF(Y3="Globular Cluster",2,IF(Y3="Reflection Nebula",1,IF(Y3="Planetary Nebula",1,IF(Y3="Comet",1,0))))))+IF(Z3="High (easy)",2,IF(Z3="Medium",1,IF(Z3="Low (hard)",-1,0)))+IF(AA3="High (OK with Moon)",2,IF(AA3="Medium",0,IF(AA3="Low (needs dark)",-2,0)))+IF(AC3="High (best &gt;50°)",1,IF(AC3="Medium",0,IF(AC3="Low (OK)",-1,0))),0)))</f>
        <v>6</v>
      </c>
      <c r="AE3" t="str">
        <f ca="1">IF(AND(CHOOSE(MONTH(TODAY()),G3,H3,I3,J3,K3,L3,M3,N3,O3,P3,Q3,R3)="✔",AD3&gt;=7,AM3="Yes",AO3&gt;=50,OR(X3="No",X3=""),OR(E3="No",V3="Yes")),"⭐ PICK","")</f>
        <v/>
      </c>
      <c r="AG3" t="str">
        <f ca="1">TEXT(TODAY(),"mmm")</f>
        <v>Mar</v>
      </c>
      <c r="AH3" t="s">
        <v>50</v>
      </c>
      <c r="AI3">
        <v>5.5670000000000002</v>
      </c>
      <c r="AJ3">
        <v>22</v>
      </c>
      <c r="AK3" t="s">
        <v>6</v>
      </c>
      <c r="AL3" s="5">
        <f ca="1">IFERROR(MOD((AI3-(MOD(18.697374558+24.065709824419*(TODAY()-DATE(2000,1,1)+0.5)+$AZ$1/15,24)))/1.00273790935,24)/24,"")</f>
        <v>0.99906701193242142</v>
      </c>
      <c r="AM3" t="str">
        <f>IF(AO3&gt;=20,"Yes","No")</f>
        <v>Yes</v>
      </c>
      <c r="AN3" s="7" t="str">
        <f ca="1">IF(AM3="Yes",TEXT(AL3,"h:mm AM/PM"),"")</f>
        <v>11:58 PM</v>
      </c>
      <c r="AO3">
        <v>79</v>
      </c>
      <c r="AP3">
        <f>ROUND(MAX(0,MIN(10,(AO3-20)/6)),1)</f>
        <v>9.8000000000000007</v>
      </c>
      <c r="AQ3" t="str">
        <f ca="1">IF(AE3="⭐ PICK","PICK at "&amp;AN3,"")</f>
        <v/>
      </c>
    </row>
    <row r="4" spans="1:52" hidden="1" x14ac:dyDescent="0.3">
      <c r="A4" t="s">
        <v>287</v>
      </c>
      <c r="B4" t="s">
        <v>311</v>
      </c>
      <c r="C4" t="s">
        <v>312</v>
      </c>
      <c r="D4" t="s">
        <v>136</v>
      </c>
      <c r="E4" t="s">
        <v>44</v>
      </c>
      <c r="G4" t="s">
        <v>45</v>
      </c>
      <c r="H4" t="s">
        <v>45</v>
      </c>
      <c r="I4" t="s">
        <v>45</v>
      </c>
      <c r="R4" t="s">
        <v>45</v>
      </c>
      <c r="S4">
        <v>20</v>
      </c>
      <c r="X4" t="str">
        <f t="shared" si="0"/>
        <v>No</v>
      </c>
      <c r="Y4" t="s">
        <v>46</v>
      </c>
      <c r="Z4" t="s">
        <v>48</v>
      </c>
      <c r="AA4" t="s">
        <v>48</v>
      </c>
      <c r="AB4">
        <f t="shared" si="1"/>
        <v>90</v>
      </c>
      <c r="AC4" t="s">
        <v>49</v>
      </c>
      <c r="AD4">
        <f t="shared" si="2"/>
        <v>10</v>
      </c>
      <c r="AE4" t="str">
        <f t="shared" ref="AE3:AE8" ca="1" si="3">IF(AND(CHOOSE(MONTH(TODAY()),G4,H4,I4,J4,K4,L4,M4,N4,O4,P4,Q4,R4)="✔",AD4&gt;=7,OR(V4&lt;&gt;"No",V4=""),OR(X4="No",X4="")),"⭐ PICK","")</f>
        <v>⭐ PICK</v>
      </c>
      <c r="AI4">
        <v>13.7</v>
      </c>
      <c r="AJ4">
        <v>28.367000000000001</v>
      </c>
      <c r="AK4" t="s">
        <v>10</v>
      </c>
      <c r="AL4" t="s">
        <v>61</v>
      </c>
      <c r="AM4" t="s">
        <v>44</v>
      </c>
      <c r="AN4" t="s">
        <v>62</v>
      </c>
      <c r="AO4">
        <v>42</v>
      </c>
    </row>
    <row r="5" spans="1:52" x14ac:dyDescent="0.3">
      <c r="A5" t="s">
        <v>287</v>
      </c>
      <c r="B5" t="s">
        <v>309</v>
      </c>
      <c r="C5" t="s">
        <v>310</v>
      </c>
      <c r="D5" t="s">
        <v>136</v>
      </c>
      <c r="E5" t="s">
        <v>44</v>
      </c>
      <c r="F5" t="s">
        <v>410</v>
      </c>
      <c r="G5" t="s">
        <v>45</v>
      </c>
      <c r="H5" t="s">
        <v>45</v>
      </c>
      <c r="I5" t="s">
        <v>45</v>
      </c>
      <c r="R5" t="s">
        <v>45</v>
      </c>
      <c r="S5">
        <v>7</v>
      </c>
      <c r="X5" t="str">
        <f t="shared" si="0"/>
        <v>No</v>
      </c>
      <c r="Y5" t="s">
        <v>70</v>
      </c>
      <c r="Z5" t="s">
        <v>47</v>
      </c>
      <c r="AA5" t="s">
        <v>56</v>
      </c>
      <c r="AB5">
        <f t="shared" si="1"/>
        <v>20</v>
      </c>
      <c r="AC5" t="s">
        <v>49</v>
      </c>
      <c r="AD5">
        <f t="shared" si="2"/>
        <v>10</v>
      </c>
      <c r="AE5" t="str">
        <f ca="1">IF(AND(CHOOSE(MONTH(TODAY()),G5,H5,I5,J5,K5,L5,M5,N5,O5,P5,Q5,R5)="✔",AD5&gt;=7,AM5="Yes",AO5&gt;=50,OR(X5="No",X5=""),OR(E5="No",V5="Yes")),"⭐ PICK","")</f>
        <v/>
      </c>
      <c r="AI5">
        <v>21.55</v>
      </c>
      <c r="AJ5">
        <v>-0.81699999999999995</v>
      </c>
      <c r="AK5" t="s">
        <v>14</v>
      </c>
      <c r="AL5" s="5">
        <f ca="1">IFERROR(MOD((AI5-(MOD(18.697374558+24.065709824419*(TODAY()-DATE(2000,1,1)+0.5)+$AZ$1/15,24)))/1.00273790935,24)/24,"")</f>
        <v>0.66320699020952112</v>
      </c>
      <c r="AM5" t="str">
        <f>IF(AO5&gt;=20,"Yes","No")</f>
        <v>No</v>
      </c>
      <c r="AN5" s="7" t="str">
        <f>IF(AM5="Yes",TEXT(AL5,"h:mm AM/PM"),"")</f>
        <v/>
      </c>
      <c r="AO5">
        <v>19.8</v>
      </c>
      <c r="AP5">
        <f>ROUND(MAX(0,MIN(10,(AO5-20)/6)),1)</f>
        <v>0</v>
      </c>
      <c r="AQ5" t="str">
        <f ca="1">IF(AE5="⭐ PICK","PICK at "&amp;AN5,"")</f>
        <v/>
      </c>
    </row>
    <row r="6" spans="1:52" s="2" customFormat="1" hidden="1" x14ac:dyDescent="0.3">
      <c r="A6" s="2" t="s">
        <v>287</v>
      </c>
      <c r="B6" s="2" t="s">
        <v>316</v>
      </c>
      <c r="C6" s="2" t="s">
        <v>317</v>
      </c>
      <c r="D6" s="2" t="s">
        <v>136</v>
      </c>
      <c r="E6" s="2" t="s">
        <v>44</v>
      </c>
      <c r="G6" s="2" t="s">
        <v>45</v>
      </c>
      <c r="H6" s="2" t="s">
        <v>45</v>
      </c>
      <c r="I6" s="2" t="s">
        <v>45</v>
      </c>
      <c r="R6" s="2" t="s">
        <v>45</v>
      </c>
      <c r="S6" s="2">
        <v>30</v>
      </c>
      <c r="T6" s="2">
        <v>180</v>
      </c>
      <c r="V6" s="2" t="s">
        <v>57</v>
      </c>
      <c r="X6" s="2" t="str">
        <f t="shared" si="0"/>
        <v>No</v>
      </c>
      <c r="Y6" s="2" t="s">
        <v>46</v>
      </c>
      <c r="Z6" s="2" t="s">
        <v>48</v>
      </c>
      <c r="AA6" s="2" t="s">
        <v>117</v>
      </c>
      <c r="AB6" s="2">
        <f t="shared" si="1"/>
        <v>90</v>
      </c>
      <c r="AC6" s="2" t="s">
        <v>49</v>
      </c>
      <c r="AD6" s="2">
        <f t="shared" si="2"/>
        <v>10</v>
      </c>
      <c r="AE6" s="2" t="str">
        <f t="shared" ca="1" si="3"/>
        <v/>
      </c>
      <c r="AI6" s="2">
        <v>15.3</v>
      </c>
      <c r="AJ6" s="2">
        <v>2.0670000000000002</v>
      </c>
      <c r="AK6" s="2" t="s">
        <v>11</v>
      </c>
      <c r="AL6" s="2" t="s">
        <v>66</v>
      </c>
      <c r="AM6" s="2" t="s">
        <v>57</v>
      </c>
      <c r="AN6" s="2" t="s">
        <v>62</v>
      </c>
      <c r="AO6" s="2">
        <v>9.3000000000000007</v>
      </c>
    </row>
    <row r="7" spans="1:52" x14ac:dyDescent="0.3">
      <c r="A7" t="s">
        <v>287</v>
      </c>
      <c r="B7" t="s">
        <v>290</v>
      </c>
      <c r="C7" t="s">
        <v>291</v>
      </c>
      <c r="D7" t="s">
        <v>243</v>
      </c>
      <c r="E7" t="s">
        <v>44</v>
      </c>
      <c r="G7" t="s">
        <v>45</v>
      </c>
      <c r="P7" t="s">
        <v>45</v>
      </c>
      <c r="Q7" t="s">
        <v>45</v>
      </c>
      <c r="R7" t="s">
        <v>45</v>
      </c>
      <c r="S7">
        <v>21</v>
      </c>
      <c r="X7" t="str">
        <f t="shared" si="0"/>
        <v>No</v>
      </c>
      <c r="Y7" t="s">
        <v>116</v>
      </c>
      <c r="AB7">
        <f t="shared" si="1"/>
        <v>90</v>
      </c>
      <c r="AD7">
        <f t="shared" si="2"/>
        <v>8</v>
      </c>
      <c r="AE7" t="str">
        <f t="shared" ref="AE7:AE11" ca="1" si="4">IF(AND(CHOOSE(MONTH(TODAY()),G7,H7,I7,J7,K7,L7,M7,N7,O7,P7,Q7,R7)="✔",AD7&gt;=7,AM7="Yes",AO7&gt;=50,OR(X7="No",X7=""),OR(E7="No",V7="Yes")),"⭐ PICK","")</f>
        <v/>
      </c>
      <c r="AI7">
        <v>16.382999999999999</v>
      </c>
      <c r="AJ7">
        <v>-26.516999999999999</v>
      </c>
      <c r="AK7" t="s">
        <v>11</v>
      </c>
      <c r="AL7" s="5">
        <f t="shared" ref="AL7:AL11" ca="1" si="5">IFERROR(MOD((AI7-(MOD(18.697374558+24.065709824419*(TODAY()-DATE(2000,1,1)+0.5)+$AZ$1/15,24)))/1.00273790935,24)/24,"")</f>
        <v>0.44850316315841837</v>
      </c>
      <c r="AM7" t="str">
        <f t="shared" ref="AM7:AM11" si="6">IF(AO7&gt;=20,"Yes","No")</f>
        <v>No</v>
      </c>
      <c r="AN7" s="7" t="str">
        <f t="shared" ref="AN7:AN11" si="7">IF(AM7="Yes",TEXT(AL7,"h:mm AM/PM"),"")</f>
        <v/>
      </c>
      <c r="AO7">
        <v>-19.2</v>
      </c>
      <c r="AP7">
        <f t="shared" ref="AP7:AP11" si="8">ROUND(MAX(0,MIN(10,(AO7-20)/6)),1)</f>
        <v>0</v>
      </c>
      <c r="AQ7" t="str">
        <f t="shared" ref="AQ7:AQ11" ca="1" si="9">IF(AE7="⭐ PICK","PICK at "&amp;AN7,"")</f>
        <v/>
      </c>
    </row>
    <row r="8" spans="1:52" x14ac:dyDescent="0.3">
      <c r="A8" t="s">
        <v>287</v>
      </c>
      <c r="B8" t="s">
        <v>318</v>
      </c>
      <c r="C8" t="s">
        <v>319</v>
      </c>
      <c r="D8" t="s">
        <v>136</v>
      </c>
      <c r="E8" t="s">
        <v>44</v>
      </c>
      <c r="G8" t="s">
        <v>45</v>
      </c>
      <c r="H8" t="s">
        <v>45</v>
      </c>
      <c r="I8" t="s">
        <v>45</v>
      </c>
      <c r="R8" t="s">
        <v>45</v>
      </c>
      <c r="S8">
        <v>40</v>
      </c>
      <c r="X8" t="str">
        <f t="shared" si="0"/>
        <v>No</v>
      </c>
      <c r="Y8" t="s">
        <v>46</v>
      </c>
      <c r="Z8" t="s">
        <v>48</v>
      </c>
      <c r="AA8" t="s">
        <v>117</v>
      </c>
      <c r="AB8">
        <f t="shared" si="1"/>
        <v>90</v>
      </c>
      <c r="AC8" t="s">
        <v>49</v>
      </c>
      <c r="AD8">
        <f t="shared" si="2"/>
        <v>10</v>
      </c>
      <c r="AE8" t="str">
        <f t="shared" ca="1" si="4"/>
        <v/>
      </c>
      <c r="AI8">
        <v>17.667000000000002</v>
      </c>
      <c r="AJ8">
        <v>-32.253</v>
      </c>
      <c r="AK8" t="s">
        <v>12</v>
      </c>
      <c r="AL8" s="5">
        <f t="shared" ca="1" si="5"/>
        <v>0.50185708495706682</v>
      </c>
      <c r="AM8" t="str">
        <f t="shared" si="6"/>
        <v>No</v>
      </c>
      <c r="AN8" s="7" t="str">
        <f t="shared" si="7"/>
        <v/>
      </c>
      <c r="AO8">
        <v>-36.799999999999997</v>
      </c>
      <c r="AP8">
        <f t="shared" si="8"/>
        <v>0</v>
      </c>
      <c r="AQ8" t="str">
        <f t="shared" ca="1" si="9"/>
        <v/>
      </c>
    </row>
    <row r="9" spans="1:52" x14ac:dyDescent="0.3">
      <c r="A9" t="s">
        <v>287</v>
      </c>
      <c r="B9" t="s">
        <v>385</v>
      </c>
      <c r="C9" t="s">
        <v>385</v>
      </c>
      <c r="D9" t="s">
        <v>404</v>
      </c>
      <c r="E9" t="s">
        <v>44</v>
      </c>
      <c r="F9" t="s">
        <v>405</v>
      </c>
      <c r="G9" t="s">
        <v>45</v>
      </c>
      <c r="H9" t="s">
        <v>45</v>
      </c>
      <c r="I9" t="s">
        <v>45</v>
      </c>
      <c r="S9">
        <v>20</v>
      </c>
      <c r="T9">
        <v>90</v>
      </c>
      <c r="U9" t="s">
        <v>406</v>
      </c>
      <c r="W9">
        <v>4</v>
      </c>
      <c r="X9" t="str">
        <f t="shared" si="0"/>
        <v>No</v>
      </c>
      <c r="Y9" t="s">
        <v>407</v>
      </c>
      <c r="Z9" t="s">
        <v>48</v>
      </c>
      <c r="AA9" t="s">
        <v>408</v>
      </c>
      <c r="AC9" t="s">
        <v>49</v>
      </c>
      <c r="AD9">
        <f t="shared" si="2"/>
        <v>10</v>
      </c>
      <c r="AE9" t="str">
        <f t="shared" ca="1" si="4"/>
        <v/>
      </c>
      <c r="AI9">
        <v>5.47</v>
      </c>
      <c r="AJ9">
        <v>34.4</v>
      </c>
      <c r="AK9" t="s">
        <v>6</v>
      </c>
      <c r="AL9" s="5">
        <f t="shared" ca="1" si="5"/>
        <v>0.99503638076850487</v>
      </c>
      <c r="AM9" t="str">
        <f t="shared" si="6"/>
        <v>No</v>
      </c>
      <c r="AN9" s="7" t="str">
        <f t="shared" si="7"/>
        <v/>
      </c>
      <c r="AP9">
        <f t="shared" si="8"/>
        <v>0</v>
      </c>
      <c r="AQ9" t="str">
        <f t="shared" ca="1" si="9"/>
        <v/>
      </c>
    </row>
    <row r="10" spans="1:52" x14ac:dyDescent="0.3">
      <c r="A10" t="s">
        <v>287</v>
      </c>
      <c r="B10" t="s">
        <v>300</v>
      </c>
      <c r="C10" t="s">
        <v>301</v>
      </c>
      <c r="D10" t="s">
        <v>136</v>
      </c>
      <c r="E10" t="s">
        <v>57</v>
      </c>
      <c r="G10" t="s">
        <v>45</v>
      </c>
      <c r="H10" t="s">
        <v>45</v>
      </c>
      <c r="I10" t="s">
        <v>45</v>
      </c>
      <c r="R10" t="s">
        <v>45</v>
      </c>
      <c r="S10">
        <v>60</v>
      </c>
      <c r="X10" t="str">
        <f t="shared" si="0"/>
        <v>No</v>
      </c>
      <c r="Y10" t="s">
        <v>46</v>
      </c>
      <c r="Z10" t="s">
        <v>48</v>
      </c>
      <c r="AA10" t="s">
        <v>117</v>
      </c>
      <c r="AB10">
        <f>IF(Y10="Emission Nebula",90,IF(Y10="Reflection Nebula",75,IF(Y10="Planetary Nebula",60,IF(Y10="Galaxy",90,IF(Y10="Globular Cluster",30,IF(Y10="Open Cluster",20,IF(Y10="Comet",20,IF(Y10="Planet",10,IF(Y10="Star",5,45)))))))))</f>
        <v>90</v>
      </c>
      <c r="AC10" t="s">
        <v>49</v>
      </c>
      <c r="AD10">
        <f t="shared" si="2"/>
        <v>10</v>
      </c>
      <c r="AE10" t="str">
        <f t="shared" ca="1" si="4"/>
        <v/>
      </c>
      <c r="AI10">
        <v>17.882999999999999</v>
      </c>
      <c r="AJ10">
        <v>-34.792999999999999</v>
      </c>
      <c r="AK10" t="s">
        <v>12</v>
      </c>
      <c r="AL10" s="5">
        <f t="shared" ca="1" si="5"/>
        <v>0.5108325110540356</v>
      </c>
      <c r="AM10" t="str">
        <f t="shared" si="6"/>
        <v>No</v>
      </c>
      <c r="AN10" s="7" t="str">
        <f t="shared" si="7"/>
        <v/>
      </c>
      <c r="AO10">
        <v>-40.200000000000003</v>
      </c>
      <c r="AP10">
        <f t="shared" si="8"/>
        <v>0</v>
      </c>
      <c r="AQ10" t="str">
        <f t="shared" ca="1" si="9"/>
        <v/>
      </c>
    </row>
    <row r="11" spans="1:52" x14ac:dyDescent="0.3">
      <c r="A11" t="s">
        <v>287</v>
      </c>
      <c r="B11" t="s">
        <v>315</v>
      </c>
      <c r="C11" t="s">
        <v>197</v>
      </c>
      <c r="D11" t="s">
        <v>136</v>
      </c>
      <c r="E11" t="s">
        <v>57</v>
      </c>
      <c r="G11" t="s">
        <v>45</v>
      </c>
      <c r="H11" t="s">
        <v>45</v>
      </c>
      <c r="I11" t="s">
        <v>45</v>
      </c>
      <c r="R11" t="s">
        <v>45</v>
      </c>
      <c r="S11">
        <v>8</v>
      </c>
      <c r="X11" t="str">
        <f t="shared" si="0"/>
        <v>No</v>
      </c>
      <c r="Y11" t="s">
        <v>197</v>
      </c>
      <c r="Z11" t="s">
        <v>48</v>
      </c>
      <c r="AA11" t="s">
        <v>117</v>
      </c>
      <c r="AB11">
        <f>IF(Y11="Emission Nebula",90,IF(Y11="Reflection Nebula",75,IF(Y11="Planetary Nebula",60,IF(Y11="Galaxy",90,IF(Y11="Globular Cluster",30,IF(Y11="Open Cluster",20,IF(Y11="Comet",20,IF(Y11="Planet",10,IF(Y11="Star",5,45)))))))))</f>
        <v>75</v>
      </c>
      <c r="AC11" t="s">
        <v>48</v>
      </c>
      <c r="AD11">
        <f t="shared" si="2"/>
        <v>4</v>
      </c>
      <c r="AE11" t="str">
        <f t="shared" ca="1" si="4"/>
        <v/>
      </c>
      <c r="AI11">
        <v>18.05</v>
      </c>
      <c r="AJ11">
        <v>-24.387</v>
      </c>
      <c r="AK11" t="s">
        <v>12</v>
      </c>
      <c r="AL11" s="5">
        <f t="shared" ca="1" si="5"/>
        <v>0.51777184511974761</v>
      </c>
      <c r="AM11" t="str">
        <f t="shared" si="6"/>
        <v>No</v>
      </c>
      <c r="AN11" s="7" t="str">
        <f t="shared" si="7"/>
        <v/>
      </c>
      <c r="AO11">
        <v>-35.799999999999997</v>
      </c>
      <c r="AP11">
        <f t="shared" si="8"/>
        <v>0</v>
      </c>
      <c r="AQ11" t="str">
        <f t="shared" ca="1" si="9"/>
        <v/>
      </c>
    </row>
    <row r="12" spans="1:52" hidden="1" x14ac:dyDescent="0.3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G12" t="s">
        <v>45</v>
      </c>
      <c r="H12" t="s">
        <v>45</v>
      </c>
      <c r="I12" t="s">
        <v>45</v>
      </c>
      <c r="S12">
        <v>60</v>
      </c>
      <c r="X12" t="str">
        <f t="shared" si="0"/>
        <v>No</v>
      </c>
      <c r="Y12" t="s">
        <v>46</v>
      </c>
      <c r="Z12" t="s">
        <v>47</v>
      </c>
      <c r="AA12" t="s">
        <v>48</v>
      </c>
      <c r="AB12">
        <f>IF(Y12="Emission Nebula",90,IF(Y12="Reflection Nebula",75,IF(Y12="Planetary Nebula",60,IF(Y12="Galaxy",90,IF(Y12="Globular Cluster",30,IF(Y12="Open Cluster",20,IF(Y12="Comet",20,IF(Y12="Planet",10,IF(Y12="Star",5,45)))))))))</f>
        <v>90</v>
      </c>
      <c r="AC12" t="s">
        <v>49</v>
      </c>
      <c r="AD12">
        <f t="shared" si="2"/>
        <v>10</v>
      </c>
      <c r="AE12" t="str">
        <f ca="1">IF(AND(CHOOSE(MONTH(TODAY()),G12,H12,I12,J12,K12,L12,M12,N12,O12,P12,Q12,R12)="✔",AD12&gt;=7,OR(V12&lt;&gt;"No",V12=""),OR(X12="No",X12="")),"⭐ PICK","")</f>
        <v>⭐ PICK</v>
      </c>
      <c r="AI12">
        <v>16.95</v>
      </c>
      <c r="AJ12">
        <v>-4.0999999999999996</v>
      </c>
      <c r="AK12" t="s">
        <v>12</v>
      </c>
      <c r="AL12" t="s">
        <v>80</v>
      </c>
      <c r="AM12" t="s">
        <v>57</v>
      </c>
      <c r="AN12" t="s">
        <v>62</v>
      </c>
      <c r="AO12">
        <v>-14.8</v>
      </c>
    </row>
    <row r="13" spans="1:52" x14ac:dyDescent="0.3">
      <c r="A13" t="s">
        <v>287</v>
      </c>
      <c r="B13" t="s">
        <v>353</v>
      </c>
      <c r="C13" t="s">
        <v>354</v>
      </c>
      <c r="D13" t="s">
        <v>419</v>
      </c>
      <c r="E13" t="s">
        <v>57</v>
      </c>
      <c r="G13" t="s">
        <v>45</v>
      </c>
      <c r="H13" t="s">
        <v>45</v>
      </c>
      <c r="I13" t="s">
        <v>45</v>
      </c>
      <c r="T13">
        <v>120</v>
      </c>
      <c r="V13" t="s">
        <v>57</v>
      </c>
      <c r="W13">
        <v>3</v>
      </c>
      <c r="X13" t="str">
        <f t="shared" si="0"/>
        <v/>
      </c>
      <c r="Y13" t="s">
        <v>396</v>
      </c>
      <c r="Z13" t="s">
        <v>388</v>
      </c>
      <c r="AA13" t="s">
        <v>389</v>
      </c>
      <c r="AB13">
        <v>120</v>
      </c>
      <c r="AD13">
        <v>4</v>
      </c>
      <c r="AE13" t="str">
        <f ca="1">IF(AND(CHOOSE(MONTH(TODAY()),G13,H13,I13,J13,K13,L13,M13,N13,O13,P13,Q13,R13)="✔",AD13&gt;=7,AM13="Yes",AO13&gt;=50,OR(X13="No",X13=""),OR(E13="No",V13="Yes")),"⭐ PICK","")</f>
        <v/>
      </c>
      <c r="AG13" t="s">
        <v>397</v>
      </c>
      <c r="AH13" t="s">
        <v>15</v>
      </c>
      <c r="AI13">
        <v>21.883299999999998</v>
      </c>
      <c r="AJ13" s="3">
        <v>47.267000000000003</v>
      </c>
      <c r="AK13" t="s">
        <v>15</v>
      </c>
      <c r="AL13" s="5">
        <f ca="1">IFERROR(MOD((AI13-(MOD(18.697374558+24.065709824419*(TODAY()-DATE(2000,1,1)+0.5)+$AZ$1/15,24)))/1.00273790935,24)/24,"")</f>
        <v>0.67705657131192709</v>
      </c>
      <c r="AM13" t="str">
        <f>IF(AO13&gt;=20,"Yes","No")</f>
        <v>Yes</v>
      </c>
      <c r="AN13" s="7" t="str">
        <f ca="1">IF(AM13="Yes",TEXT(AL13,"h:mm AM/PM"),"")</f>
        <v>4:14 PM</v>
      </c>
      <c r="AO13" s="3">
        <v>50</v>
      </c>
      <c r="AP13">
        <f>ROUND(MAX(0,MIN(10,(AO13-20)/6)),1)</f>
        <v>5</v>
      </c>
      <c r="AQ13" t="str">
        <f ca="1">IF(AE13="⭐ PICK","PICK at "&amp;AN13,"")</f>
        <v/>
      </c>
    </row>
    <row r="14" spans="1:52" hidden="1" x14ac:dyDescent="0.3">
      <c r="A14" t="s">
        <v>40</v>
      </c>
      <c r="B14" t="s">
        <v>225</v>
      </c>
      <c r="C14" t="s">
        <v>190</v>
      </c>
      <c r="D14" t="s">
        <v>158</v>
      </c>
      <c r="E14" t="s">
        <v>44</v>
      </c>
      <c r="J14" t="s">
        <v>45</v>
      </c>
      <c r="K14" t="s">
        <v>45</v>
      </c>
      <c r="L14" t="s">
        <v>45</v>
      </c>
      <c r="S14">
        <v>10</v>
      </c>
      <c r="X14" t="str">
        <f>IF(S14="", "", IF(S14&gt;78,"Yes","No"))</f>
        <v>No</v>
      </c>
      <c r="Y14" t="s">
        <v>116</v>
      </c>
      <c r="Z14" t="s">
        <v>48</v>
      </c>
      <c r="AA14" t="s">
        <v>117</v>
      </c>
      <c r="AB14">
        <f>IF(Y14="Emission Nebula",90,IF(Y14="Reflection Nebula",75,IF(Y14="Planetary Nebula",60,IF(Y14="Galaxy",90,IF(Y14="Globular Cluster",30,IF(Y14="Open Cluster",20,IF(Y14="Comet",20,IF(Y14="Planet",10,IF(Y14="Star",5,45)))))))))</f>
        <v>90</v>
      </c>
      <c r="AC14" t="s">
        <v>49</v>
      </c>
      <c r="AD14">
        <f>MAX(1,MIN(10,ROUND((IF(S14="",5,IF(S14&lt;3,2,IF(S14&lt;10,4,IF(S14&lt;=70,8,IF(S14&lt;=100,6,4))))))+IF(Y14="Emission Nebula",2,IF(Y14="Open Cluster",2,IF(Y14="Globular Cluster",2,IF(Y14="Reflection Nebula",1,IF(Y14="Planetary Nebula",1,IF(Y14="Comet",1,0))))))+IF(Z14="High (easy)",2,IF(Z14="Medium",1,IF(Z14="Low (hard)",-1,0)))+IF(AA14="High (OK with Moon)",2,IF(AA14="Medium",0,IF(AA14="Low (needs dark)",-2,0)))+IF(AC14="High (best &gt;50°)",1,IF(AC14="Medium",0,IF(AC14="Low (OK)",-1,0))),0)))</f>
        <v>8</v>
      </c>
      <c r="AE14" t="str">
        <f ca="1">IF(AND(CHOOSE(MONTH(TODAY()),G14,H14,I14,J14,K14,L14,M14,N14,O14,P14,Q14,R14)="✔",AD14&gt;=7,OR(V14&lt;&gt;"No",V14=""),OR(X14="No",X14="")),"⭐ PICK","")</f>
        <v/>
      </c>
      <c r="AI14">
        <v>16.783000000000001</v>
      </c>
      <c r="AJ14">
        <v>-1.9330000000000001</v>
      </c>
      <c r="AK14" t="s">
        <v>11</v>
      </c>
      <c r="AL14" t="s">
        <v>83</v>
      </c>
      <c r="AM14" t="s">
        <v>57</v>
      </c>
      <c r="AN14" t="s">
        <v>62</v>
      </c>
      <c r="AO14">
        <v>-11.5</v>
      </c>
    </row>
    <row r="15" spans="1:52" hidden="1" x14ac:dyDescent="0.3">
      <c r="A15" t="s">
        <v>40</v>
      </c>
      <c r="B15" t="s">
        <v>226</v>
      </c>
      <c r="C15" t="s">
        <v>227</v>
      </c>
      <c r="D15" t="s">
        <v>158</v>
      </c>
      <c r="E15" t="s">
        <v>44</v>
      </c>
      <c r="J15" t="s">
        <v>45</v>
      </c>
      <c r="K15" t="s">
        <v>45</v>
      </c>
      <c r="L15" t="s">
        <v>45</v>
      </c>
      <c r="S15">
        <v>10</v>
      </c>
      <c r="X15" t="str">
        <f>IF(S15="", "", IF(S15&gt;78,"Yes","No"))</f>
        <v>No</v>
      </c>
      <c r="Y15" t="s">
        <v>116</v>
      </c>
      <c r="Z15" t="s">
        <v>48</v>
      </c>
      <c r="AA15" t="s">
        <v>117</v>
      </c>
      <c r="AB15">
        <f>IF(Y15="Emission Nebula",90,IF(Y15="Reflection Nebula",75,IF(Y15="Planetary Nebula",60,IF(Y15="Galaxy",90,IF(Y15="Globular Cluster",30,IF(Y15="Open Cluster",20,IF(Y15="Comet",20,IF(Y15="Planet",10,IF(Y15="Star",5,45)))))))))</f>
        <v>90</v>
      </c>
      <c r="AC15" t="s">
        <v>49</v>
      </c>
      <c r="AD15">
        <f>MAX(1,MIN(10,ROUND((IF(S15="",5,IF(S15&lt;3,2,IF(S15&lt;10,4,IF(S15&lt;=70,8,IF(S15&lt;=100,6,4))))))+IF(Y15="Emission Nebula",2,IF(Y15="Open Cluster",2,IF(Y15="Globular Cluster",2,IF(Y15="Reflection Nebula",1,IF(Y15="Planetary Nebula",1,IF(Y15="Comet",1,0))))))+IF(Z15="High (easy)",2,IF(Z15="Medium",1,IF(Z15="Low (hard)",-1,0)))+IF(AA15="High (OK with Moon)",2,IF(AA15="Medium",0,IF(AA15="Low (needs dark)",-2,0)))+IF(AC15="High (best &gt;50°)",1,IF(AC15="Medium",0,IF(AC15="Low (OK)",-1,0))),0)))</f>
        <v>8</v>
      </c>
      <c r="AE15" t="str">
        <f ca="1">IF(AND(CHOOSE(MONTH(TODAY()),G15,H15,I15,J15,K15,L15,M15,N15,O15,P15,Q15,R15)="✔",AD15&gt;=7,OR(V15&lt;&gt;"No",V15=""),OR(X15="No",X15="")),"⭐ PICK","")</f>
        <v/>
      </c>
      <c r="AI15">
        <v>16.683</v>
      </c>
      <c r="AJ15">
        <v>36.450000000000003</v>
      </c>
      <c r="AK15" t="s">
        <v>11</v>
      </c>
      <c r="AL15" t="s">
        <v>87</v>
      </c>
      <c r="AM15" t="s">
        <v>57</v>
      </c>
      <c r="AN15" t="s">
        <v>62</v>
      </c>
      <c r="AO15">
        <v>11.2</v>
      </c>
    </row>
    <row r="16" spans="1:52" hidden="1" x14ac:dyDescent="0.3">
      <c r="A16" t="s">
        <v>40</v>
      </c>
      <c r="B16" t="s">
        <v>228</v>
      </c>
      <c r="C16" t="s">
        <v>229</v>
      </c>
      <c r="D16" t="s">
        <v>158</v>
      </c>
      <c r="E16" t="s">
        <v>44</v>
      </c>
      <c r="J16" t="s">
        <v>45</v>
      </c>
      <c r="K16" t="s">
        <v>45</v>
      </c>
      <c r="L16" t="s">
        <v>45</v>
      </c>
      <c r="S16">
        <v>10</v>
      </c>
      <c r="X16" t="str">
        <f>IF(S16="", "", IF(S16&gt;78,"Yes","No"))</f>
        <v>No</v>
      </c>
      <c r="Y16" t="s">
        <v>116</v>
      </c>
      <c r="Z16" t="s">
        <v>48</v>
      </c>
      <c r="AA16" t="s">
        <v>117</v>
      </c>
      <c r="AB16">
        <f>IF(Y16="Emission Nebula",90,IF(Y16="Reflection Nebula",75,IF(Y16="Planetary Nebula",60,IF(Y16="Galaxy",90,IF(Y16="Globular Cluster",30,IF(Y16="Open Cluster",20,IF(Y16="Comet",20,IF(Y16="Planet",10,IF(Y16="Star",5,45)))))))))</f>
        <v>90</v>
      </c>
      <c r="AC16" t="s">
        <v>49</v>
      </c>
      <c r="AD16">
        <f>MAX(1,MIN(10,ROUND((IF(S16="",5,IF(S16&lt;3,2,IF(S16&lt;10,4,IF(S16&lt;=70,8,IF(S16&lt;=100,6,4))))))+IF(Y16="Emission Nebula",2,IF(Y16="Open Cluster",2,IF(Y16="Globular Cluster",2,IF(Y16="Reflection Nebula",1,IF(Y16="Planetary Nebula",1,IF(Y16="Comet",1,0))))))+IF(Z16="High (easy)",2,IF(Z16="Medium",1,IF(Z16="Low (hard)",-1,0)))+IF(AA16="High (OK with Moon)",2,IF(AA16="Medium",0,IF(AA16="Low (needs dark)",-2,0)))+IF(AC16="High (best &gt;50°)",1,IF(AC16="Medium",0,IF(AC16="Low (OK)",-1,0))),0)))</f>
        <v>8</v>
      </c>
      <c r="AE16" t="str">
        <f ca="1">IF(AND(CHOOSE(MONTH(TODAY()),G16,H16,I16,J16,K16,L16,M16,N16,O16,P16,Q16,R16)="✔",AD16&gt;=7,OR(V16&lt;&gt;"No",V16=""),OR(X16="No",X16="")),"⭐ PICK","")</f>
        <v/>
      </c>
      <c r="AI16">
        <v>17.617000000000001</v>
      </c>
      <c r="AJ16">
        <v>-3.2330000000000001</v>
      </c>
      <c r="AK16" t="s">
        <v>12</v>
      </c>
      <c r="AL16" t="s">
        <v>61</v>
      </c>
      <c r="AM16" t="s">
        <v>57</v>
      </c>
      <c r="AN16" t="s">
        <v>62</v>
      </c>
      <c r="AO16">
        <v>-22.6</v>
      </c>
    </row>
    <row r="17" spans="1:43" x14ac:dyDescent="0.3">
      <c r="A17" t="s">
        <v>287</v>
      </c>
      <c r="B17" t="s">
        <v>292</v>
      </c>
      <c r="C17" t="s">
        <v>293</v>
      </c>
      <c r="D17" t="s">
        <v>115</v>
      </c>
      <c r="E17" t="s">
        <v>57</v>
      </c>
      <c r="N17" t="s">
        <v>45</v>
      </c>
      <c r="O17" t="s">
        <v>45</v>
      </c>
      <c r="P17" t="s">
        <v>45</v>
      </c>
      <c r="Q17" t="s">
        <v>45</v>
      </c>
      <c r="S17">
        <v>2</v>
      </c>
      <c r="X17" t="str">
        <f t="shared" ref="X17:X18" si="10">IF(S17="", "", IF(S17&gt;78,"Yes","No"))</f>
        <v>No</v>
      </c>
      <c r="Y17" t="s">
        <v>116</v>
      </c>
      <c r="AB17">
        <f>IF(Y17="Emission Nebula",90,IF(Y17="Reflection Nebula",75,IF(Y17="Planetary Nebula",60,IF(Y17="Galaxy",90,IF(Y17="Globular Cluster",30,IF(Y17="Open Cluster",20,IF(Y17="Comet",20,IF(Y17="Planet",10,IF(Y17="Star",5,45)))))))))</f>
        <v>90</v>
      </c>
      <c r="AD17">
        <f>MAX(1,MIN(10,ROUND((IF(S17="",5,IF(S17&lt;3,2,IF(S17&lt;10,4,IF(S17&lt;=70,8,IF(S17&lt;=100,6,4))))))+IF(Y17="Emission Nebula",2,IF(Y17="Open Cluster",2,IF(Y17="Globular Cluster",2,IF(Y17="Reflection Nebula",1,IF(Y17="Planetary Nebula",1,IF(Y17="Comet",1,0))))))+IF(Z17="High (easy)",2,IF(Z17="Medium",1,IF(Z17="Low (hard)",-1,0)))+IF(AA17="High (OK with Moon)",2,IF(AA17="Medium",0,IF(AA17="Low (needs dark)",-2,0)))+IF(AC17="High (best &gt;50°)",1,IF(AC17="Medium",0,IF(AC17="Low (OK)",-1,0))),0)))</f>
        <v>2</v>
      </c>
      <c r="AE17" t="str">
        <f t="shared" ref="AE17:AE18" ca="1" si="11">IF(AND(CHOOSE(MONTH(TODAY()),G17,H17,I17,J17,K17,L17,M17,N17,O17,P17,Q17,R17)="✔",AD17&gt;=7,AM17="Yes",AO17&gt;=50,OR(X17="No",X17=""),OR(E17="No",V17="Yes")),"⭐ PICK","")</f>
        <v/>
      </c>
      <c r="AI17">
        <v>17.317</v>
      </c>
      <c r="AJ17">
        <v>-18.5</v>
      </c>
      <c r="AK17" t="s">
        <v>12</v>
      </c>
      <c r="AL17" s="5">
        <f t="shared" ref="AL17:AL18" ca="1" si="12">IFERROR(MOD((AI17-(MOD(18.697374558+24.065709824419*(TODAY()-DATE(2000,1,1)+0.5)+$AZ$1/15,24)))/1.00273790935,24)/24,"")</f>
        <v>0.48731357044808937</v>
      </c>
      <c r="AM17" t="str">
        <f t="shared" ref="AM17:AM18" si="13">IF(AO17&gt;=20,"Yes","No")</f>
        <v>No</v>
      </c>
      <c r="AN17" s="7" t="str">
        <f t="shared" ref="AN17:AN18" si="14">IF(AM17="Yes",TEXT(AL17,"h:mm AM/PM"),"")</f>
        <v/>
      </c>
      <c r="AO17">
        <v>-26.9</v>
      </c>
      <c r="AP17">
        <f t="shared" ref="AP17:AP18" si="15">ROUND(MAX(0,MIN(10,(AO17-20)/6)),1)</f>
        <v>0</v>
      </c>
      <c r="AQ17" t="str">
        <f t="shared" ref="AQ17:AQ18" ca="1" si="16">IF(AE17="⭐ PICK","PICK at "&amp;AN17,"")</f>
        <v/>
      </c>
    </row>
    <row r="18" spans="1:43" x14ac:dyDescent="0.3">
      <c r="A18" t="s">
        <v>287</v>
      </c>
      <c r="B18" t="s">
        <v>386</v>
      </c>
      <c r="C18" t="s">
        <v>390</v>
      </c>
      <c r="D18" t="s">
        <v>387</v>
      </c>
      <c r="E18" t="s">
        <v>57</v>
      </c>
      <c r="G18" t="s">
        <v>45</v>
      </c>
      <c r="H18" t="s">
        <v>45</v>
      </c>
      <c r="I18" t="s">
        <v>45</v>
      </c>
      <c r="S18">
        <v>7</v>
      </c>
      <c r="T18">
        <v>90</v>
      </c>
      <c r="V18" t="s">
        <v>57</v>
      </c>
      <c r="W18">
        <v>3</v>
      </c>
      <c r="X18" t="str">
        <f t="shared" si="10"/>
        <v>No</v>
      </c>
      <c r="Y18" t="s">
        <v>391</v>
      </c>
      <c r="Z18" t="s">
        <v>388</v>
      </c>
      <c r="AA18" t="s">
        <v>389</v>
      </c>
      <c r="AB18">
        <v>90</v>
      </c>
      <c r="AD18">
        <v>4</v>
      </c>
      <c r="AE18" t="str">
        <f t="shared" ca="1" si="11"/>
        <v/>
      </c>
      <c r="AG18" t="s">
        <v>8</v>
      </c>
      <c r="AH18" t="s">
        <v>8</v>
      </c>
      <c r="AI18">
        <v>5.5167000000000002</v>
      </c>
      <c r="AJ18">
        <v>34.232999999999997</v>
      </c>
      <c r="AK18" s="3" t="s">
        <v>8</v>
      </c>
      <c r="AL18" s="5">
        <f t="shared" ca="1" si="12"/>
        <v>0.99697690113298831</v>
      </c>
      <c r="AM18" t="str">
        <f t="shared" si="13"/>
        <v>Yes</v>
      </c>
      <c r="AN18" s="7" t="str">
        <f t="shared" ca="1" si="14"/>
        <v>11:55 PM</v>
      </c>
      <c r="AO18" s="3">
        <v>55</v>
      </c>
      <c r="AP18">
        <f t="shared" si="15"/>
        <v>5.8</v>
      </c>
      <c r="AQ18" t="str">
        <f t="shared" ca="1" si="16"/>
        <v/>
      </c>
    </row>
    <row r="19" spans="1:43" hidden="1" x14ac:dyDescent="0.3">
      <c r="A19" t="s">
        <v>40</v>
      </c>
      <c r="B19" t="s">
        <v>233</v>
      </c>
      <c r="C19" t="s">
        <v>234</v>
      </c>
      <c r="D19" t="s">
        <v>202</v>
      </c>
      <c r="E19" t="s">
        <v>44</v>
      </c>
      <c r="I19" t="s">
        <v>45</v>
      </c>
      <c r="J19" t="s">
        <v>45</v>
      </c>
      <c r="K19" t="s">
        <v>45</v>
      </c>
      <c r="S19">
        <v>10</v>
      </c>
      <c r="X19" t="str">
        <f t="shared" ref="X19:X50" si="17">IF(S19="", "", IF(S19&gt;78,"Yes","No"))</f>
        <v>No</v>
      </c>
      <c r="Y19" t="s">
        <v>116</v>
      </c>
      <c r="Z19" t="s">
        <v>48</v>
      </c>
      <c r="AA19" t="s">
        <v>117</v>
      </c>
      <c r="AB19">
        <f t="shared" ref="AB19:AB50" si="18">IF(Y19="Emission Nebula",90,IF(Y19="Reflection Nebula",75,IF(Y19="Planetary Nebula",60,IF(Y19="Galaxy",90,IF(Y19="Globular Cluster",30,IF(Y19="Open Cluster",20,IF(Y19="Comet",20,IF(Y19="Planet",10,IF(Y19="Star",5,45)))))))))</f>
        <v>90</v>
      </c>
      <c r="AC19" t="s">
        <v>49</v>
      </c>
      <c r="AD19">
        <f t="shared" ref="AD19:AD50" si="19">MAX(1,MIN(10,ROUND((IF(S19="",5,IF(S19&lt;3,2,IF(S19&lt;10,4,IF(S19&lt;=70,8,IF(S19&lt;=100,6,4))))))+IF(Y19="Emission Nebula",2,IF(Y19="Open Cluster",2,IF(Y19="Globular Cluster",2,IF(Y19="Reflection Nebula",1,IF(Y19="Planetary Nebula",1,IF(Y19="Comet",1,0))))))+IF(Z19="High (easy)",2,IF(Z19="Medium",1,IF(Z19="Low (hard)",-1,0)))+IF(AA19="High (OK with Moon)",2,IF(AA19="Medium",0,IF(AA19="Low (needs dark)",-2,0)))+IF(AC19="High (best &gt;50°)",1,IF(AC19="Medium",0,IF(AC19="Low (OK)",-1,0))),0)))</f>
        <v>8</v>
      </c>
      <c r="AE19" t="str">
        <f t="shared" ref="AE19:AE50" ca="1" si="20">IF(AND(CHOOSE(MONTH(TODAY()),G19,H19,I19,J19,K19,L19,M19,N19,O19,P19,Q19,R19)="✔",AD19&gt;=7,OR(V19&lt;&gt;"No",V19=""),OR(X19="No",X19="")),"⭐ PICK","")</f>
        <v>⭐ PICK</v>
      </c>
      <c r="AI19">
        <v>18.332999999999998</v>
      </c>
      <c r="AJ19">
        <v>-16.172000000000001</v>
      </c>
      <c r="AK19" t="s">
        <v>12</v>
      </c>
      <c r="AL19" t="s">
        <v>64</v>
      </c>
      <c r="AM19" t="s">
        <v>57</v>
      </c>
      <c r="AN19" t="s">
        <v>58</v>
      </c>
      <c r="AO19">
        <v>-28.6</v>
      </c>
    </row>
    <row r="20" spans="1:43" hidden="1" x14ac:dyDescent="0.3">
      <c r="A20" t="s">
        <v>40</v>
      </c>
      <c r="B20" t="s">
        <v>235</v>
      </c>
      <c r="C20" t="s">
        <v>190</v>
      </c>
      <c r="D20" t="s">
        <v>202</v>
      </c>
      <c r="E20" t="s">
        <v>44</v>
      </c>
      <c r="I20" t="s">
        <v>45</v>
      </c>
      <c r="J20" t="s">
        <v>45</v>
      </c>
      <c r="K20" t="s">
        <v>45</v>
      </c>
      <c r="S20">
        <v>10</v>
      </c>
      <c r="X20" t="str">
        <f t="shared" si="17"/>
        <v>No</v>
      </c>
      <c r="Y20" t="s">
        <v>116</v>
      </c>
      <c r="Z20" t="s">
        <v>48</v>
      </c>
      <c r="AA20" t="s">
        <v>117</v>
      </c>
      <c r="AB20">
        <f t="shared" si="18"/>
        <v>90</v>
      </c>
      <c r="AC20" t="s">
        <v>49</v>
      </c>
      <c r="AD20">
        <f t="shared" si="19"/>
        <v>8</v>
      </c>
      <c r="AE20" t="str">
        <f t="shared" ca="1" si="20"/>
        <v>⭐ PICK</v>
      </c>
      <c r="AI20">
        <v>18.317</v>
      </c>
      <c r="AJ20">
        <v>-17.102</v>
      </c>
      <c r="AK20" t="s">
        <v>12</v>
      </c>
      <c r="AL20" t="s">
        <v>64</v>
      </c>
      <c r="AM20" t="s">
        <v>57</v>
      </c>
      <c r="AN20" t="s">
        <v>58</v>
      </c>
      <c r="AO20">
        <v>-29.2</v>
      </c>
    </row>
    <row r="21" spans="1:43" x14ac:dyDescent="0.3">
      <c r="A21" t="s">
        <v>40</v>
      </c>
      <c r="B21" t="s">
        <v>79</v>
      </c>
      <c r="C21" t="s">
        <v>54</v>
      </c>
      <c r="D21" t="s">
        <v>60</v>
      </c>
      <c r="E21" t="s">
        <v>57</v>
      </c>
      <c r="K21" t="s">
        <v>45</v>
      </c>
      <c r="L21" t="s">
        <v>45</v>
      </c>
      <c r="M21" t="s">
        <v>45</v>
      </c>
      <c r="S21">
        <v>10</v>
      </c>
      <c r="X21" t="str">
        <f t="shared" si="17"/>
        <v>No</v>
      </c>
      <c r="Y21" t="s">
        <v>54</v>
      </c>
      <c r="Z21" t="s">
        <v>47</v>
      </c>
      <c r="AA21" t="s">
        <v>56</v>
      </c>
      <c r="AB21">
        <f t="shared" si="18"/>
        <v>30</v>
      </c>
      <c r="AC21" t="s">
        <v>48</v>
      </c>
      <c r="AD21">
        <f t="shared" si="19"/>
        <v>10</v>
      </c>
      <c r="AE21" t="str">
        <f ca="1">IF(AND(CHOOSE(MONTH(TODAY()),G21,H21,I21,J21,K21,L21,M21,N21,O21,P21,Q21,R21)="✔",AD21&gt;=7,AM21="Yes",AO21&gt;=50,OR(X21="No",X21=""),OR(E21="No",V21="Yes")),"⭐ PICK","")</f>
        <v/>
      </c>
      <c r="AI21">
        <v>18.850000000000001</v>
      </c>
      <c r="AJ21">
        <v>-6.27</v>
      </c>
      <c r="AK21" t="s">
        <v>12</v>
      </c>
      <c r="AL21" s="5">
        <f ca="1">IFERROR(MOD((AI21-(MOD(18.697374558+24.065709824419*(TODAY()-DATE(2000,1,1)+0.5)+$AZ$1/15,24)))/1.00273790935,24)/24,"")</f>
        <v>0.55101416399741021</v>
      </c>
      <c r="AM21" t="str">
        <f>IF(AO21&gt;=20,"Yes","No")</f>
        <v>No</v>
      </c>
      <c r="AN21" s="7" t="str">
        <f>IF(AM21="Yes",TEXT(AL21,"h:mm AM/PM"),"")</f>
        <v/>
      </c>
      <c r="AO21">
        <v>-16.899999999999999</v>
      </c>
      <c r="AP21">
        <f>ROUND(MAX(0,MIN(10,(AO21-20)/6)),1)</f>
        <v>0</v>
      </c>
      <c r="AQ21" t="str">
        <f ca="1">IF(AE21="⭐ PICK","PICK at "&amp;AN21,"")</f>
        <v/>
      </c>
    </row>
    <row r="22" spans="1:43" hidden="1" x14ac:dyDescent="0.3">
      <c r="A22" t="s">
        <v>40</v>
      </c>
      <c r="B22" t="s">
        <v>237</v>
      </c>
      <c r="C22" t="s">
        <v>190</v>
      </c>
      <c r="D22" t="s">
        <v>202</v>
      </c>
      <c r="E22" t="s">
        <v>44</v>
      </c>
      <c r="I22" t="s">
        <v>45</v>
      </c>
      <c r="J22" t="s">
        <v>45</v>
      </c>
      <c r="K22" t="s">
        <v>45</v>
      </c>
      <c r="S22">
        <v>10</v>
      </c>
      <c r="X22" t="str">
        <f t="shared" si="17"/>
        <v>No</v>
      </c>
      <c r="Y22" t="s">
        <v>116</v>
      </c>
      <c r="Z22" t="s">
        <v>48</v>
      </c>
      <c r="AA22" t="s">
        <v>117</v>
      </c>
      <c r="AB22">
        <f t="shared" si="18"/>
        <v>90</v>
      </c>
      <c r="AC22" t="s">
        <v>49</v>
      </c>
      <c r="AD22">
        <f t="shared" si="19"/>
        <v>8</v>
      </c>
      <c r="AE22" t="str">
        <f t="shared" ca="1" si="20"/>
        <v>⭐ PICK</v>
      </c>
      <c r="AI22">
        <v>18.033000000000001</v>
      </c>
      <c r="AJ22">
        <v>-22.972000000000001</v>
      </c>
      <c r="AK22" t="s">
        <v>12</v>
      </c>
      <c r="AL22" t="s">
        <v>77</v>
      </c>
      <c r="AM22" t="s">
        <v>57</v>
      </c>
      <c r="AN22" t="s">
        <v>58</v>
      </c>
      <c r="AO22">
        <v>-35.4</v>
      </c>
    </row>
    <row r="23" spans="1:43" hidden="1" x14ac:dyDescent="0.3">
      <c r="A23" t="s">
        <v>40</v>
      </c>
      <c r="B23" t="s">
        <v>238</v>
      </c>
      <c r="C23" t="s">
        <v>190</v>
      </c>
      <c r="D23" t="s">
        <v>202</v>
      </c>
      <c r="E23" t="s">
        <v>44</v>
      </c>
      <c r="I23" t="s">
        <v>45</v>
      </c>
      <c r="J23" t="s">
        <v>45</v>
      </c>
      <c r="K23" t="s">
        <v>45</v>
      </c>
      <c r="S23">
        <v>10</v>
      </c>
      <c r="X23" t="str">
        <f t="shared" si="17"/>
        <v>No</v>
      </c>
      <c r="Y23" t="s">
        <v>116</v>
      </c>
      <c r="Z23" t="s">
        <v>48</v>
      </c>
      <c r="AA23" t="s">
        <v>117</v>
      </c>
      <c r="AB23">
        <f t="shared" si="18"/>
        <v>90</v>
      </c>
      <c r="AC23" t="s">
        <v>49</v>
      </c>
      <c r="AD23">
        <f t="shared" si="19"/>
        <v>8</v>
      </c>
      <c r="AE23" t="str">
        <f t="shared" ca="1" si="20"/>
        <v>⭐ PICK</v>
      </c>
      <c r="AI23">
        <v>18.067</v>
      </c>
      <c r="AJ23">
        <v>-22.49</v>
      </c>
      <c r="AK23" t="s">
        <v>12</v>
      </c>
      <c r="AL23" t="s">
        <v>77</v>
      </c>
      <c r="AM23" t="s">
        <v>57</v>
      </c>
      <c r="AN23" t="s">
        <v>58</v>
      </c>
      <c r="AO23">
        <v>-34.799999999999997</v>
      </c>
    </row>
    <row r="24" spans="1:43" hidden="1" x14ac:dyDescent="0.3">
      <c r="A24" t="s">
        <v>40</v>
      </c>
      <c r="B24" t="s">
        <v>81</v>
      </c>
      <c r="C24" t="s">
        <v>82</v>
      </c>
      <c r="D24" t="s">
        <v>76</v>
      </c>
      <c r="E24" t="s">
        <v>44</v>
      </c>
      <c r="L24" t="s">
        <v>45</v>
      </c>
      <c r="M24" t="s">
        <v>45</v>
      </c>
      <c r="N24" t="s">
        <v>45</v>
      </c>
      <c r="S24">
        <v>20</v>
      </c>
      <c r="X24" t="str">
        <f t="shared" si="17"/>
        <v>No</v>
      </c>
      <c r="Y24" t="s">
        <v>70</v>
      </c>
      <c r="Z24" t="s">
        <v>47</v>
      </c>
      <c r="AA24" t="s">
        <v>56</v>
      </c>
      <c r="AB24">
        <f t="shared" si="18"/>
        <v>20</v>
      </c>
      <c r="AC24" t="s">
        <v>71</v>
      </c>
      <c r="AD24">
        <f t="shared" si="19"/>
        <v>10</v>
      </c>
      <c r="AE24" t="str">
        <f t="shared" ca="1" si="20"/>
        <v/>
      </c>
      <c r="AI24">
        <v>18.600000000000001</v>
      </c>
      <c r="AJ24">
        <v>-23.9</v>
      </c>
      <c r="AK24" t="s">
        <v>12</v>
      </c>
      <c r="AL24" t="s">
        <v>87</v>
      </c>
      <c r="AM24" t="s">
        <v>57</v>
      </c>
      <c r="AN24" t="s">
        <v>58</v>
      </c>
      <c r="AO24">
        <v>-28.8</v>
      </c>
    </row>
    <row r="25" spans="1:43" hidden="1" x14ac:dyDescent="0.3">
      <c r="A25" t="s">
        <v>40</v>
      </c>
      <c r="B25" t="s">
        <v>239</v>
      </c>
      <c r="C25" t="s">
        <v>119</v>
      </c>
      <c r="D25" t="s">
        <v>115</v>
      </c>
      <c r="E25" t="s">
        <v>44</v>
      </c>
      <c r="N25" t="s">
        <v>45</v>
      </c>
      <c r="O25" t="s">
        <v>45</v>
      </c>
      <c r="P25" t="s">
        <v>45</v>
      </c>
      <c r="Q25" t="s">
        <v>45</v>
      </c>
      <c r="X25" t="str">
        <f t="shared" si="17"/>
        <v/>
      </c>
      <c r="AB25">
        <f t="shared" si="18"/>
        <v>45</v>
      </c>
      <c r="AD25">
        <f t="shared" si="19"/>
        <v>5</v>
      </c>
      <c r="AE25" t="str">
        <f t="shared" ca="1" si="20"/>
        <v/>
      </c>
      <c r="AI25">
        <v>17.95</v>
      </c>
      <c r="AJ25">
        <v>-18.984999999999999</v>
      </c>
      <c r="AK25" t="s">
        <v>12</v>
      </c>
      <c r="AL25" t="s">
        <v>77</v>
      </c>
      <c r="AM25" t="s">
        <v>57</v>
      </c>
      <c r="AN25" t="s">
        <v>58</v>
      </c>
      <c r="AO25">
        <v>-34.700000000000003</v>
      </c>
    </row>
    <row r="26" spans="1:43" x14ac:dyDescent="0.3">
      <c r="A26" t="s">
        <v>40</v>
      </c>
      <c r="B26" t="s">
        <v>230</v>
      </c>
      <c r="D26" t="s">
        <v>69</v>
      </c>
      <c r="E26" t="s">
        <v>57</v>
      </c>
      <c r="G26" t="s">
        <v>45</v>
      </c>
      <c r="H26" t="s">
        <v>45</v>
      </c>
      <c r="I26" t="s">
        <v>45</v>
      </c>
      <c r="J26" t="s">
        <v>45</v>
      </c>
      <c r="K26" t="s">
        <v>45</v>
      </c>
      <c r="L26" t="s">
        <v>45</v>
      </c>
      <c r="M26" t="s">
        <v>45</v>
      </c>
      <c r="N26" t="s">
        <v>45</v>
      </c>
      <c r="O26" t="s">
        <v>45</v>
      </c>
      <c r="P26" t="s">
        <v>45</v>
      </c>
      <c r="Q26" t="s">
        <v>45</v>
      </c>
      <c r="R26" t="s">
        <v>45</v>
      </c>
      <c r="X26" t="str">
        <f t="shared" si="17"/>
        <v/>
      </c>
      <c r="AB26">
        <f t="shared" si="18"/>
        <v>45</v>
      </c>
      <c r="AD26">
        <f t="shared" si="19"/>
        <v>5</v>
      </c>
      <c r="AE26" t="str">
        <f ca="1">IF(AND(CHOOSE(MONTH(TODAY()),G26,H26,I26,J26,K26,L26,M26,N26,O26,P26,Q26,R26)="✔",AD26&gt;=7,AM26="Yes",AO26&gt;=50,OR(X26="No",X26=""),OR(E26="No",V26="Yes")),"⭐ PICK","")</f>
        <v/>
      </c>
      <c r="AI26">
        <v>21.483000000000001</v>
      </c>
      <c r="AJ26">
        <v>12.167</v>
      </c>
      <c r="AK26" t="s">
        <v>14</v>
      </c>
      <c r="AL26" s="5">
        <f ca="1">IFERROR(MOD((AI26-(MOD(18.697374558+24.065709824419*(TODAY()-DATE(2000,1,1)+0.5)+$AZ$1/15,24)))/1.00273790935,24)/24,"")</f>
        <v>0.66042294600351692</v>
      </c>
      <c r="AM26" t="str">
        <f>IF(AO26&gt;=20,"Yes","No")</f>
        <v>Yes</v>
      </c>
      <c r="AN26" s="7" t="str">
        <f ca="1">IF(AM26="Yes",TEXT(AL26,"h:mm AM/PM"),"")</f>
        <v>3:51 PM</v>
      </c>
      <c r="AO26">
        <v>26.1</v>
      </c>
      <c r="AP26">
        <f>ROUND(MAX(0,MIN(10,(AO26-20)/6)),1)</f>
        <v>1</v>
      </c>
      <c r="AQ26" t="str">
        <f ca="1">IF(AE26="⭐ PICK","PICK at "&amp;AN26,"")</f>
        <v/>
      </c>
    </row>
    <row r="27" spans="1:43" hidden="1" x14ac:dyDescent="0.3">
      <c r="A27" t="s">
        <v>40</v>
      </c>
      <c r="B27" t="s">
        <v>85</v>
      </c>
      <c r="C27" t="s">
        <v>86</v>
      </c>
      <c r="D27" t="s">
        <v>60</v>
      </c>
      <c r="E27" t="s">
        <v>44</v>
      </c>
      <c r="K27" t="s">
        <v>45</v>
      </c>
      <c r="L27" t="s">
        <v>45</v>
      </c>
      <c r="M27" t="s">
        <v>45</v>
      </c>
      <c r="X27" t="str">
        <f t="shared" si="17"/>
        <v/>
      </c>
      <c r="AB27">
        <f t="shared" si="18"/>
        <v>45</v>
      </c>
      <c r="AD27">
        <f t="shared" si="19"/>
        <v>5</v>
      </c>
      <c r="AE27" t="str">
        <f t="shared" ca="1" si="20"/>
        <v/>
      </c>
      <c r="AI27">
        <v>18.516999999999999</v>
      </c>
      <c r="AJ27">
        <v>-19.117000000000001</v>
      </c>
      <c r="AK27" t="s">
        <v>12</v>
      </c>
      <c r="AL27" t="s">
        <v>52</v>
      </c>
      <c r="AM27" t="s">
        <v>57</v>
      </c>
      <c r="AN27" t="s">
        <v>58</v>
      </c>
      <c r="AO27">
        <v>-27.7</v>
      </c>
    </row>
    <row r="28" spans="1:43" x14ac:dyDescent="0.3">
      <c r="A28" t="s">
        <v>40</v>
      </c>
      <c r="B28" t="s">
        <v>231</v>
      </c>
      <c r="C28" t="s">
        <v>232</v>
      </c>
      <c r="D28" t="s">
        <v>179</v>
      </c>
      <c r="E28" t="s">
        <v>57</v>
      </c>
      <c r="I28" t="s">
        <v>45</v>
      </c>
      <c r="J28" t="s">
        <v>45</v>
      </c>
      <c r="K28" t="s">
        <v>45</v>
      </c>
      <c r="L28" t="s">
        <v>45</v>
      </c>
      <c r="S28">
        <v>10</v>
      </c>
      <c r="X28" t="str">
        <f t="shared" si="17"/>
        <v>No</v>
      </c>
      <c r="Y28" t="s">
        <v>116</v>
      </c>
      <c r="Z28" t="s">
        <v>48</v>
      </c>
      <c r="AA28" t="s">
        <v>117</v>
      </c>
      <c r="AB28">
        <f t="shared" si="18"/>
        <v>90</v>
      </c>
      <c r="AC28" t="s">
        <v>49</v>
      </c>
      <c r="AD28">
        <f t="shared" si="19"/>
        <v>8</v>
      </c>
      <c r="AE28" t="str">
        <f t="shared" ref="AE28:AE29" ca="1" si="21">IF(AND(CHOOSE(MONTH(TODAY()),G28,H28,I28,J28,K28,L28,M28,N28,O28,P28,Q28,R28)="✔",AD28&gt;=7,AM28="Yes",AO28&gt;=50,OR(X28="No",X28=""),OR(E28="No",V28="Yes")),"⭐ PICK","")</f>
        <v/>
      </c>
      <c r="AI28">
        <v>18.3</v>
      </c>
      <c r="AJ28">
        <v>-13.807</v>
      </c>
      <c r="AK28" t="s">
        <v>12</v>
      </c>
      <c r="AL28" s="5">
        <f t="shared" ref="AL28:AL29" ca="1" si="22">IFERROR(MOD((AI28-(MOD(18.697374558+24.065709824419*(TODAY()-DATE(2000,1,1)+0.5)+$AZ$1/15,24)))/1.00273790935,24)/24,"")</f>
        <v>0.52816006976901719</v>
      </c>
      <c r="AM28" t="str">
        <f t="shared" ref="AM28:AM29" si="23">IF(AO28&gt;=20,"Yes","No")</f>
        <v>No</v>
      </c>
      <c r="AN28" s="7" t="str">
        <f t="shared" ref="AN28:AN29" si="24">IF(AM28="Yes",TEXT(AL28,"h:mm AM/PM"),"")</f>
        <v/>
      </c>
      <c r="AO28">
        <v>-27.8</v>
      </c>
      <c r="AP28">
        <f t="shared" ref="AP28:AP29" si="25">ROUND(MAX(0,MIN(10,(AO28-20)/6)),1)</f>
        <v>0</v>
      </c>
      <c r="AQ28" t="str">
        <f t="shared" ref="AQ28:AQ29" ca="1" si="26">IF(AE28="⭐ PICK","PICK at "&amp;AN28,"")</f>
        <v/>
      </c>
    </row>
    <row r="29" spans="1:43" x14ac:dyDescent="0.3">
      <c r="A29" t="s">
        <v>40</v>
      </c>
      <c r="B29" t="s">
        <v>236</v>
      </c>
      <c r="D29" t="s">
        <v>69</v>
      </c>
      <c r="E29" t="s">
        <v>57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45</v>
      </c>
      <c r="M29" t="s">
        <v>45</v>
      </c>
      <c r="N29" t="s">
        <v>45</v>
      </c>
      <c r="O29" t="s">
        <v>45</v>
      </c>
      <c r="P29" t="s">
        <v>45</v>
      </c>
      <c r="Q29" t="s">
        <v>45</v>
      </c>
      <c r="R29" t="s">
        <v>45</v>
      </c>
      <c r="X29" t="str">
        <f t="shared" si="17"/>
        <v/>
      </c>
      <c r="AB29">
        <f t="shared" si="18"/>
        <v>45</v>
      </c>
      <c r="AD29">
        <f t="shared" si="19"/>
        <v>5</v>
      </c>
      <c r="AE29" t="str">
        <f t="shared" ca="1" si="21"/>
        <v/>
      </c>
      <c r="AI29">
        <v>17.033000000000001</v>
      </c>
      <c r="AJ29">
        <v>-26.266999999999999</v>
      </c>
      <c r="AK29" t="s">
        <v>12</v>
      </c>
      <c r="AL29" s="5">
        <f t="shared" ca="1" si="22"/>
        <v>0.4755125472465192</v>
      </c>
      <c r="AM29" t="str">
        <f t="shared" si="23"/>
        <v>No</v>
      </c>
      <c r="AN29" s="7" t="str">
        <f t="shared" si="24"/>
        <v/>
      </c>
      <c r="AO29">
        <v>-26.9</v>
      </c>
      <c r="AP29">
        <f t="shared" si="25"/>
        <v>0</v>
      </c>
      <c r="AQ29" t="str">
        <f t="shared" ca="1" si="26"/>
        <v/>
      </c>
    </row>
    <row r="30" spans="1:43" hidden="1" x14ac:dyDescent="0.3">
      <c r="A30" t="s">
        <v>40</v>
      </c>
      <c r="B30" t="s">
        <v>90</v>
      </c>
      <c r="C30" t="s">
        <v>91</v>
      </c>
      <c r="D30" t="s">
        <v>76</v>
      </c>
      <c r="E30" t="s">
        <v>44</v>
      </c>
      <c r="L30" t="s">
        <v>45</v>
      </c>
      <c r="M30" t="s">
        <v>45</v>
      </c>
      <c r="N30" t="s">
        <v>45</v>
      </c>
      <c r="S30">
        <v>60</v>
      </c>
      <c r="X30" t="str">
        <f t="shared" si="17"/>
        <v>No</v>
      </c>
      <c r="Y30" t="s">
        <v>46</v>
      </c>
      <c r="Z30" t="s">
        <v>47</v>
      </c>
      <c r="AA30" t="s">
        <v>48</v>
      </c>
      <c r="AB30">
        <f t="shared" si="18"/>
        <v>90</v>
      </c>
      <c r="AC30" t="s">
        <v>49</v>
      </c>
      <c r="AD30">
        <f t="shared" si="19"/>
        <v>10</v>
      </c>
      <c r="AE30" t="str">
        <f t="shared" ca="1" si="20"/>
        <v/>
      </c>
      <c r="AI30">
        <v>18.399999999999999</v>
      </c>
      <c r="AJ30">
        <v>-24.867000000000001</v>
      </c>
      <c r="AK30" t="s">
        <v>12</v>
      </c>
      <c r="AL30" t="s">
        <v>64</v>
      </c>
      <c r="AM30" t="s">
        <v>57</v>
      </c>
      <c r="AN30" t="s">
        <v>58</v>
      </c>
      <c r="AO30">
        <v>-31.7</v>
      </c>
    </row>
    <row r="31" spans="1:43" hidden="1" x14ac:dyDescent="0.3">
      <c r="A31" t="s">
        <v>40</v>
      </c>
      <c r="B31" t="s">
        <v>92</v>
      </c>
      <c r="C31" t="s">
        <v>93</v>
      </c>
      <c r="D31" t="s">
        <v>76</v>
      </c>
      <c r="E31" t="s">
        <v>44</v>
      </c>
      <c r="L31" t="s">
        <v>45</v>
      </c>
      <c r="M31" t="s">
        <v>45</v>
      </c>
      <c r="N31" t="s">
        <v>45</v>
      </c>
      <c r="S31">
        <v>60</v>
      </c>
      <c r="X31" t="str">
        <f t="shared" si="17"/>
        <v>No</v>
      </c>
      <c r="Y31" t="s">
        <v>46</v>
      </c>
      <c r="Z31" t="s">
        <v>47</v>
      </c>
      <c r="AA31" t="s">
        <v>48</v>
      </c>
      <c r="AB31">
        <f t="shared" si="18"/>
        <v>90</v>
      </c>
      <c r="AC31" t="s">
        <v>49</v>
      </c>
      <c r="AD31">
        <f t="shared" si="19"/>
        <v>10</v>
      </c>
      <c r="AE31" t="str">
        <f t="shared" ca="1" si="20"/>
        <v/>
      </c>
      <c r="AI31">
        <v>20.382999999999999</v>
      </c>
      <c r="AJ31">
        <v>38.523000000000003</v>
      </c>
      <c r="AK31" t="s">
        <v>13</v>
      </c>
      <c r="AL31" t="s">
        <v>64</v>
      </c>
      <c r="AM31" t="s">
        <v>44</v>
      </c>
      <c r="AN31" t="s">
        <v>58</v>
      </c>
      <c r="AO31">
        <v>24.7</v>
      </c>
    </row>
    <row r="32" spans="1:43" x14ac:dyDescent="0.3">
      <c r="A32" t="s">
        <v>40</v>
      </c>
      <c r="B32" t="s">
        <v>84</v>
      </c>
      <c r="C32" t="s">
        <v>54</v>
      </c>
      <c r="D32" t="s">
        <v>60</v>
      </c>
      <c r="E32" t="s">
        <v>57</v>
      </c>
      <c r="K32" t="s">
        <v>45</v>
      </c>
      <c r="L32" t="s">
        <v>45</v>
      </c>
      <c r="M32" t="s">
        <v>45</v>
      </c>
      <c r="S32">
        <v>10</v>
      </c>
      <c r="X32" t="str">
        <f t="shared" si="17"/>
        <v>No</v>
      </c>
      <c r="Y32" t="s">
        <v>54</v>
      </c>
      <c r="Z32" t="s">
        <v>47</v>
      </c>
      <c r="AA32" t="s">
        <v>56</v>
      </c>
      <c r="AB32">
        <f t="shared" si="18"/>
        <v>30</v>
      </c>
      <c r="AC32" t="s">
        <v>48</v>
      </c>
      <c r="AD32">
        <f t="shared" si="19"/>
        <v>10</v>
      </c>
      <c r="AE32" t="str">
        <f t="shared" ref="AE32:AE33" ca="1" si="27">IF(AND(CHOOSE(MONTH(TODAY()),G32,H32,I32,J32,K32,L32,M32,N32,O32,P32,Q32,R32)="✔",AD32&gt;=7,AM32="Yes",AO32&gt;=50,OR(X32="No",X32=""),OR(E32="No",V32="Yes")),"⭐ PICK","")</f>
        <v/>
      </c>
      <c r="AI32">
        <v>18.28</v>
      </c>
      <c r="AJ32">
        <v>-18.55</v>
      </c>
      <c r="AK32" t="s">
        <v>12</v>
      </c>
      <c r="AL32" s="5">
        <f t="shared" ref="AL32:AL33" ca="1" si="28">IFERROR(MOD((AI32-(MOD(18.697374558+24.065709824419*(TODAY()-DATE(2000,1,1)+0.5)+$AZ$1/15,24)))/1.00273790935,24)/24,"")</f>
        <v>0.5273290117970757</v>
      </c>
      <c r="AM32" t="str">
        <f t="shared" ref="AM32:AM33" si="29">IF(AO32&gt;=20,"Yes","No")</f>
        <v>No</v>
      </c>
      <c r="AN32" s="7" t="str">
        <f t="shared" ref="AN32:AN33" si="30">IF(AM32="Yes",TEXT(AL32,"h:mm AM/PM"),"")</f>
        <v/>
      </c>
      <c r="AO32">
        <v>-30.4</v>
      </c>
      <c r="AP32">
        <f t="shared" ref="AP32:AP33" si="31">ROUND(MAX(0,MIN(10,(AO32-20)/6)),1)</f>
        <v>0</v>
      </c>
      <c r="AQ32" t="str">
        <f t="shared" ref="AQ32:AQ33" ca="1" si="32">IF(AE32="⭐ PICK","PICK at "&amp;AN32,"")</f>
        <v/>
      </c>
    </row>
    <row r="33" spans="1:43" x14ac:dyDescent="0.3">
      <c r="A33" t="s">
        <v>40</v>
      </c>
      <c r="B33" t="s">
        <v>88</v>
      </c>
      <c r="C33" t="s">
        <v>54</v>
      </c>
      <c r="D33" t="s">
        <v>60</v>
      </c>
      <c r="E33" t="s">
        <v>57</v>
      </c>
      <c r="K33" t="s">
        <v>45</v>
      </c>
      <c r="L33" t="s">
        <v>45</v>
      </c>
      <c r="M33" t="s">
        <v>45</v>
      </c>
      <c r="S33">
        <v>10</v>
      </c>
      <c r="X33" t="str">
        <f t="shared" si="17"/>
        <v>No</v>
      </c>
      <c r="Y33" t="s">
        <v>54</v>
      </c>
      <c r="Z33" t="s">
        <v>47</v>
      </c>
      <c r="AA33" t="s">
        <v>56</v>
      </c>
      <c r="AB33">
        <f t="shared" si="18"/>
        <v>30</v>
      </c>
      <c r="AC33" t="s">
        <v>48</v>
      </c>
      <c r="AD33">
        <f t="shared" si="19"/>
        <v>10</v>
      </c>
      <c r="AE33" t="str">
        <f t="shared" ca="1" si="27"/>
        <v/>
      </c>
      <c r="AI33">
        <v>18.75</v>
      </c>
      <c r="AJ33">
        <v>-9.3829999999999991</v>
      </c>
      <c r="AK33" t="s">
        <v>12</v>
      </c>
      <c r="AL33" s="5">
        <f t="shared" ca="1" si="28"/>
        <v>0.5468588741377024</v>
      </c>
      <c r="AM33" t="str">
        <f t="shared" si="29"/>
        <v>No</v>
      </c>
      <c r="AN33" s="7" t="str">
        <f t="shared" si="30"/>
        <v/>
      </c>
      <c r="AO33">
        <v>-19.899999999999999</v>
      </c>
      <c r="AP33">
        <f t="shared" si="31"/>
        <v>0</v>
      </c>
      <c r="AQ33" t="str">
        <f t="shared" ca="1" si="32"/>
        <v/>
      </c>
    </row>
    <row r="34" spans="1:43" hidden="1" x14ac:dyDescent="0.3">
      <c r="A34" t="s">
        <v>40</v>
      </c>
      <c r="B34" t="s">
        <v>53</v>
      </c>
      <c r="C34" t="s">
        <v>54</v>
      </c>
      <c r="D34" t="s">
        <v>55</v>
      </c>
      <c r="E34" t="s">
        <v>44</v>
      </c>
      <c r="N34" t="s">
        <v>45</v>
      </c>
      <c r="O34" t="s">
        <v>45</v>
      </c>
      <c r="P34" t="s">
        <v>45</v>
      </c>
      <c r="S34">
        <v>10</v>
      </c>
      <c r="X34" t="str">
        <f t="shared" si="17"/>
        <v>No</v>
      </c>
      <c r="Y34" t="s">
        <v>54</v>
      </c>
      <c r="Z34" t="s">
        <v>47</v>
      </c>
      <c r="AA34" t="s">
        <v>56</v>
      </c>
      <c r="AB34">
        <f t="shared" si="18"/>
        <v>30</v>
      </c>
      <c r="AC34" t="s">
        <v>48</v>
      </c>
      <c r="AD34">
        <f t="shared" si="19"/>
        <v>10</v>
      </c>
      <c r="AE34" t="str">
        <f t="shared" ca="1" si="20"/>
        <v/>
      </c>
      <c r="AI34">
        <v>0.7</v>
      </c>
      <c r="AJ34">
        <v>40.85</v>
      </c>
      <c r="AK34" t="s">
        <v>15</v>
      </c>
      <c r="AL34" t="s">
        <v>87</v>
      </c>
      <c r="AM34" t="s">
        <v>44</v>
      </c>
      <c r="AN34" t="s">
        <v>58</v>
      </c>
      <c r="AO34">
        <v>73.400000000000006</v>
      </c>
    </row>
    <row r="35" spans="1:43" x14ac:dyDescent="0.3">
      <c r="A35" t="s">
        <v>40</v>
      </c>
      <c r="B35" t="s">
        <v>89</v>
      </c>
      <c r="C35" t="s">
        <v>54</v>
      </c>
      <c r="D35" t="s">
        <v>60</v>
      </c>
      <c r="E35" t="s">
        <v>57</v>
      </c>
      <c r="K35" t="s">
        <v>45</v>
      </c>
      <c r="L35" t="s">
        <v>45</v>
      </c>
      <c r="M35" t="s">
        <v>45</v>
      </c>
      <c r="S35">
        <v>10</v>
      </c>
      <c r="X35" t="str">
        <f t="shared" si="17"/>
        <v>No</v>
      </c>
      <c r="Y35" t="s">
        <v>54</v>
      </c>
      <c r="Z35" t="s">
        <v>47</v>
      </c>
      <c r="AA35" t="s">
        <v>56</v>
      </c>
      <c r="AB35">
        <f t="shared" si="18"/>
        <v>30</v>
      </c>
      <c r="AC35" t="s">
        <v>48</v>
      </c>
      <c r="AD35">
        <f t="shared" si="19"/>
        <v>10</v>
      </c>
      <c r="AE35" t="str">
        <f t="shared" ref="AE35:AE41" ca="1" si="33">IF(AND(CHOOSE(MONTH(TODAY()),G35,H35,I35,J35,K35,L35,M35,N35,O35,P35,Q35,R35)="✔",AD35&gt;=7,AM35="Yes",AO35&gt;=50,OR(X35="No",X35=""),OR(E35="No",V35="Yes")),"⭐ PICK","")</f>
        <v/>
      </c>
      <c r="AI35">
        <v>19.983000000000001</v>
      </c>
      <c r="AJ35">
        <v>22.716999999999999</v>
      </c>
      <c r="AK35" t="s">
        <v>13</v>
      </c>
      <c r="AL35" s="5">
        <f t="shared" ref="AL35:AL41" ca="1" si="34">IFERROR(MOD((AI35-(MOD(18.697374558+24.065709824419*(TODAY()-DATE(2000,1,1)+0.5)+$AZ$1/15,24)))/1.00273790935,24)/24,"")</f>
        <v>0.59809359810789975</v>
      </c>
      <c r="AM35" t="str">
        <f t="shared" ref="AM35:AM41" si="35">IF(AO35&gt;=20,"Yes","No")</f>
        <v>No</v>
      </c>
      <c r="AN35" s="7" t="str">
        <f t="shared" ref="AN35:AN41" si="36">IF(AM35="Yes",TEXT(AL35,"h:mm AM/PM"),"")</f>
        <v/>
      </c>
      <c r="AO35">
        <v>12.8</v>
      </c>
      <c r="AP35">
        <f t="shared" ref="AP35:AP41" si="37">ROUND(MAX(0,MIN(10,(AO35-20)/6)),1)</f>
        <v>0</v>
      </c>
      <c r="AQ35" t="str">
        <f t="shared" ref="AQ35:AQ41" ca="1" si="38">IF(AE35="⭐ PICK","PICK at "&amp;AN35,"")</f>
        <v/>
      </c>
    </row>
    <row r="36" spans="1:43" x14ac:dyDescent="0.3">
      <c r="A36" t="s">
        <v>40</v>
      </c>
      <c r="B36" t="s">
        <v>94</v>
      </c>
      <c r="C36" t="s">
        <v>70</v>
      </c>
      <c r="D36" t="s">
        <v>69</v>
      </c>
      <c r="E36" t="s">
        <v>57</v>
      </c>
      <c r="G36" t="s">
        <v>45</v>
      </c>
      <c r="H36" t="s">
        <v>45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45</v>
      </c>
      <c r="O36" t="s">
        <v>45</v>
      </c>
      <c r="P36" t="s">
        <v>45</v>
      </c>
      <c r="Q36" t="s">
        <v>45</v>
      </c>
      <c r="R36" t="s">
        <v>45</v>
      </c>
      <c r="S36">
        <v>20</v>
      </c>
      <c r="X36" t="str">
        <f t="shared" si="17"/>
        <v>No</v>
      </c>
      <c r="Y36" t="s">
        <v>70</v>
      </c>
      <c r="Z36" t="s">
        <v>47</v>
      </c>
      <c r="AA36" t="s">
        <v>56</v>
      </c>
      <c r="AB36">
        <f t="shared" si="18"/>
        <v>20</v>
      </c>
      <c r="AC36" t="s">
        <v>71</v>
      </c>
      <c r="AD36">
        <f t="shared" si="19"/>
        <v>10</v>
      </c>
      <c r="AE36" t="str">
        <f t="shared" ca="1" si="33"/>
        <v/>
      </c>
      <c r="AI36">
        <v>21.667000000000002</v>
      </c>
      <c r="AJ36">
        <v>-23.167000000000002</v>
      </c>
      <c r="AK36" t="s">
        <v>14</v>
      </c>
      <c r="AL36" s="5">
        <f t="shared" ca="1" si="34"/>
        <v>0.66806867934537928</v>
      </c>
      <c r="AM36" t="str">
        <f t="shared" si="35"/>
        <v>No</v>
      </c>
      <c r="AN36" s="7" t="str">
        <f t="shared" si="36"/>
        <v/>
      </c>
      <c r="AO36">
        <v>7.2</v>
      </c>
      <c r="AP36">
        <f t="shared" si="37"/>
        <v>0</v>
      </c>
      <c r="AQ36" t="str">
        <f t="shared" ca="1" si="38"/>
        <v/>
      </c>
    </row>
    <row r="37" spans="1:43" x14ac:dyDescent="0.3">
      <c r="A37" t="s">
        <v>40</v>
      </c>
      <c r="B37" t="s">
        <v>95</v>
      </c>
      <c r="C37" t="s">
        <v>70</v>
      </c>
      <c r="D37" t="s">
        <v>69</v>
      </c>
      <c r="E37" t="s">
        <v>57</v>
      </c>
      <c r="G37" t="s">
        <v>45</v>
      </c>
      <c r="H37" t="s">
        <v>45</v>
      </c>
      <c r="I37" t="s">
        <v>45</v>
      </c>
      <c r="J37" t="s">
        <v>45</v>
      </c>
      <c r="K37" t="s">
        <v>45</v>
      </c>
      <c r="L37" t="s">
        <v>45</v>
      </c>
      <c r="M37" t="s">
        <v>45</v>
      </c>
      <c r="N37" t="s">
        <v>45</v>
      </c>
      <c r="O37" t="s">
        <v>45</v>
      </c>
      <c r="P37" t="s">
        <v>45</v>
      </c>
      <c r="Q37" t="s">
        <v>45</v>
      </c>
      <c r="R37" t="s">
        <v>45</v>
      </c>
      <c r="S37">
        <v>20</v>
      </c>
      <c r="X37" t="str">
        <f t="shared" si="17"/>
        <v>No</v>
      </c>
      <c r="Y37" t="s">
        <v>70</v>
      </c>
      <c r="Z37" t="s">
        <v>47</v>
      </c>
      <c r="AA37" t="s">
        <v>56</v>
      </c>
      <c r="AB37">
        <f t="shared" si="18"/>
        <v>20</v>
      </c>
      <c r="AC37" t="s">
        <v>71</v>
      </c>
      <c r="AD37">
        <f t="shared" si="19"/>
        <v>10</v>
      </c>
      <c r="AE37" t="str">
        <f t="shared" ca="1" si="33"/>
        <v>⭐ PICK</v>
      </c>
      <c r="AI37">
        <v>0.7</v>
      </c>
      <c r="AJ37">
        <v>41.267000000000003</v>
      </c>
      <c r="AK37" t="s">
        <v>15</v>
      </c>
      <c r="AL37" s="5">
        <f t="shared" ca="1" si="34"/>
        <v>0.79682905446044217</v>
      </c>
      <c r="AM37" t="str">
        <f t="shared" si="35"/>
        <v>Yes</v>
      </c>
      <c r="AN37" s="7" t="str">
        <f t="shared" ca="1" si="36"/>
        <v>7:07 PM</v>
      </c>
      <c r="AO37">
        <v>73.2</v>
      </c>
      <c r="AP37">
        <f t="shared" si="37"/>
        <v>8.9</v>
      </c>
      <c r="AQ37" t="str">
        <f t="shared" ca="1" si="38"/>
        <v>PICK at 7:07 PM</v>
      </c>
    </row>
    <row r="38" spans="1:43" x14ac:dyDescent="0.3">
      <c r="A38" t="s">
        <v>40</v>
      </c>
      <c r="B38" t="s">
        <v>96</v>
      </c>
      <c r="C38" t="s">
        <v>97</v>
      </c>
      <c r="D38" t="s">
        <v>76</v>
      </c>
      <c r="E38" t="s">
        <v>57</v>
      </c>
      <c r="L38" t="s">
        <v>45</v>
      </c>
      <c r="M38" t="s">
        <v>45</v>
      </c>
      <c r="N38" t="s">
        <v>45</v>
      </c>
      <c r="S38">
        <v>60</v>
      </c>
      <c r="X38" t="str">
        <f t="shared" si="17"/>
        <v>No</v>
      </c>
      <c r="Y38" t="s">
        <v>46</v>
      </c>
      <c r="Z38" t="s">
        <v>47</v>
      </c>
      <c r="AA38" t="s">
        <v>48</v>
      </c>
      <c r="AB38">
        <f t="shared" si="18"/>
        <v>90</v>
      </c>
      <c r="AC38" t="s">
        <v>49</v>
      </c>
      <c r="AD38">
        <f t="shared" si="19"/>
        <v>10</v>
      </c>
      <c r="AE38" t="str">
        <f t="shared" ca="1" si="33"/>
        <v/>
      </c>
      <c r="AI38">
        <v>1.55</v>
      </c>
      <c r="AJ38">
        <v>30.65</v>
      </c>
      <c r="AK38" t="s">
        <v>16</v>
      </c>
      <c r="AL38" s="5">
        <f t="shared" ca="1" si="34"/>
        <v>0.83214901826795851</v>
      </c>
      <c r="AM38" t="str">
        <f t="shared" si="35"/>
        <v>Yes</v>
      </c>
      <c r="AN38" s="7" t="str">
        <f t="shared" ca="1" si="36"/>
        <v>7:58 PM</v>
      </c>
      <c r="AO38">
        <v>84.7</v>
      </c>
      <c r="AP38">
        <f t="shared" si="37"/>
        <v>10</v>
      </c>
      <c r="AQ38" t="str">
        <f t="shared" ca="1" si="38"/>
        <v/>
      </c>
    </row>
    <row r="39" spans="1:43" x14ac:dyDescent="0.3">
      <c r="A39" t="s">
        <v>40</v>
      </c>
      <c r="B39" t="s">
        <v>98</v>
      </c>
      <c r="C39" t="s">
        <v>70</v>
      </c>
      <c r="D39" t="s">
        <v>69</v>
      </c>
      <c r="E39" t="s">
        <v>57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  <c r="S39">
        <v>20</v>
      </c>
      <c r="X39" t="str">
        <f t="shared" si="17"/>
        <v>No</v>
      </c>
      <c r="Y39" t="s">
        <v>70</v>
      </c>
      <c r="Z39" t="s">
        <v>47</v>
      </c>
      <c r="AA39" t="s">
        <v>56</v>
      </c>
      <c r="AB39">
        <f t="shared" si="18"/>
        <v>20</v>
      </c>
      <c r="AC39" t="s">
        <v>71</v>
      </c>
      <c r="AD39">
        <f t="shared" si="19"/>
        <v>10</v>
      </c>
      <c r="AE39" t="str">
        <f t="shared" ca="1" si="33"/>
        <v>⭐ PICK</v>
      </c>
      <c r="AI39">
        <v>2.7</v>
      </c>
      <c r="AJ39">
        <v>42.762</v>
      </c>
      <c r="AK39" t="s">
        <v>16</v>
      </c>
      <c r="AL39" s="5">
        <f t="shared" ca="1" si="34"/>
        <v>0.87993485165459839</v>
      </c>
      <c r="AM39" t="str">
        <f t="shared" si="35"/>
        <v>Yes</v>
      </c>
      <c r="AN39" s="7" t="str">
        <f t="shared" ca="1" si="36"/>
        <v>9:07 PM</v>
      </c>
      <c r="AO39">
        <v>80.2</v>
      </c>
      <c r="AP39">
        <f t="shared" si="37"/>
        <v>10</v>
      </c>
      <c r="AQ39" t="str">
        <f t="shared" ca="1" si="38"/>
        <v>PICK at 9:07 PM</v>
      </c>
    </row>
    <row r="40" spans="1:43" x14ac:dyDescent="0.3">
      <c r="A40" t="s">
        <v>40</v>
      </c>
      <c r="B40" t="s">
        <v>99</v>
      </c>
      <c r="C40" t="s">
        <v>100</v>
      </c>
      <c r="D40" t="s">
        <v>76</v>
      </c>
      <c r="E40" t="s">
        <v>57</v>
      </c>
      <c r="L40" t="s">
        <v>45</v>
      </c>
      <c r="M40" t="s">
        <v>45</v>
      </c>
      <c r="N40" t="s">
        <v>45</v>
      </c>
      <c r="S40">
        <v>10</v>
      </c>
      <c r="X40" t="str">
        <f t="shared" si="17"/>
        <v>No</v>
      </c>
      <c r="Y40" t="s">
        <v>54</v>
      </c>
      <c r="Z40" t="s">
        <v>47</v>
      </c>
      <c r="AA40" t="s">
        <v>56</v>
      </c>
      <c r="AB40">
        <f t="shared" si="18"/>
        <v>30</v>
      </c>
      <c r="AC40" t="s">
        <v>48</v>
      </c>
      <c r="AD40">
        <f t="shared" si="19"/>
        <v>10</v>
      </c>
      <c r="AE40" t="str">
        <f t="shared" ca="1" si="33"/>
        <v/>
      </c>
      <c r="AI40">
        <v>6.133</v>
      </c>
      <c r="AJ40">
        <v>24.332999999999998</v>
      </c>
      <c r="AK40" t="s">
        <v>6</v>
      </c>
      <c r="AL40" s="5">
        <f t="shared" ca="1" si="34"/>
        <v>2.2585952538367621E-2</v>
      </c>
      <c r="AM40" t="str">
        <f t="shared" si="35"/>
        <v>Yes</v>
      </c>
      <c r="AN40" s="7" t="str">
        <f t="shared" ca="1" si="36"/>
        <v>12:32 AM</v>
      </c>
      <c r="AO40">
        <v>81.3</v>
      </c>
      <c r="AP40">
        <f t="shared" si="37"/>
        <v>10</v>
      </c>
      <c r="AQ40" t="str">
        <f t="shared" ca="1" si="38"/>
        <v/>
      </c>
    </row>
    <row r="41" spans="1:43" x14ac:dyDescent="0.3">
      <c r="A41" t="s">
        <v>40</v>
      </c>
      <c r="B41" t="s">
        <v>101</v>
      </c>
      <c r="C41" t="s">
        <v>70</v>
      </c>
      <c r="D41" t="s">
        <v>76</v>
      </c>
      <c r="E41" t="s">
        <v>57</v>
      </c>
      <c r="L41" t="s">
        <v>45</v>
      </c>
      <c r="M41" t="s">
        <v>45</v>
      </c>
      <c r="N41" t="s">
        <v>45</v>
      </c>
      <c r="S41">
        <v>20</v>
      </c>
      <c r="X41" t="str">
        <f t="shared" si="17"/>
        <v>No</v>
      </c>
      <c r="Y41" t="s">
        <v>70</v>
      </c>
      <c r="Z41" t="s">
        <v>47</v>
      </c>
      <c r="AA41" t="s">
        <v>56</v>
      </c>
      <c r="AB41">
        <f t="shared" si="18"/>
        <v>20</v>
      </c>
      <c r="AC41" t="s">
        <v>71</v>
      </c>
      <c r="AD41">
        <f t="shared" si="19"/>
        <v>10</v>
      </c>
      <c r="AE41" t="str">
        <f t="shared" ca="1" si="33"/>
        <v/>
      </c>
      <c r="AI41">
        <v>5.6</v>
      </c>
      <c r="AJ41">
        <v>34.14</v>
      </c>
      <c r="AK41" t="s">
        <v>6</v>
      </c>
      <c r="AL41" s="5">
        <f t="shared" ca="1" si="34"/>
        <v>4.382575861249641E-4</v>
      </c>
      <c r="AM41" t="str">
        <f t="shared" si="35"/>
        <v>Yes</v>
      </c>
      <c r="AN41" s="7" t="str">
        <f t="shared" ca="1" si="36"/>
        <v>12:00 AM</v>
      </c>
      <c r="AO41">
        <v>88.9</v>
      </c>
      <c r="AP41">
        <f t="shared" si="37"/>
        <v>10</v>
      </c>
      <c r="AQ41" t="str">
        <f t="shared" ca="1" si="38"/>
        <v/>
      </c>
    </row>
    <row r="42" spans="1:43" hidden="1" x14ac:dyDescent="0.3">
      <c r="A42" t="s">
        <v>40</v>
      </c>
      <c r="B42" t="s">
        <v>107</v>
      </c>
      <c r="C42" t="s">
        <v>108</v>
      </c>
      <c r="D42" t="s">
        <v>109</v>
      </c>
      <c r="E42" t="s">
        <v>44</v>
      </c>
      <c r="M42" t="s">
        <v>45</v>
      </c>
      <c r="N42" t="s">
        <v>45</v>
      </c>
      <c r="O42" t="s">
        <v>45</v>
      </c>
      <c r="S42">
        <v>60</v>
      </c>
      <c r="X42" t="str">
        <f t="shared" si="17"/>
        <v>No</v>
      </c>
      <c r="Y42" t="s">
        <v>46</v>
      </c>
      <c r="Z42" t="s">
        <v>47</v>
      </c>
      <c r="AA42" t="s">
        <v>48</v>
      </c>
      <c r="AB42">
        <f t="shared" si="18"/>
        <v>90</v>
      </c>
      <c r="AC42" t="s">
        <v>49</v>
      </c>
      <c r="AD42">
        <f t="shared" si="19"/>
        <v>10</v>
      </c>
      <c r="AE42" t="str">
        <f t="shared" ca="1" si="20"/>
        <v/>
      </c>
      <c r="AI42">
        <v>12.367000000000001</v>
      </c>
      <c r="AJ42">
        <v>58.067</v>
      </c>
      <c r="AK42" t="s">
        <v>9</v>
      </c>
      <c r="AL42" t="s">
        <v>64</v>
      </c>
      <c r="AM42" t="s">
        <v>44</v>
      </c>
      <c r="AN42" t="s">
        <v>62</v>
      </c>
      <c r="AO42">
        <v>55.1</v>
      </c>
    </row>
    <row r="43" spans="1:43" x14ac:dyDescent="0.3">
      <c r="A43" t="s">
        <v>40</v>
      </c>
      <c r="B43" t="s">
        <v>102</v>
      </c>
      <c r="C43" t="s">
        <v>103</v>
      </c>
      <c r="D43" t="s">
        <v>76</v>
      </c>
      <c r="E43" t="s">
        <v>57</v>
      </c>
      <c r="L43" t="s">
        <v>45</v>
      </c>
      <c r="M43" t="s">
        <v>45</v>
      </c>
      <c r="N43" t="s">
        <v>45</v>
      </c>
      <c r="S43">
        <v>30</v>
      </c>
      <c r="X43" t="str">
        <f t="shared" si="17"/>
        <v>No</v>
      </c>
      <c r="Y43" t="s">
        <v>104</v>
      </c>
      <c r="Z43" t="s">
        <v>47</v>
      </c>
      <c r="AA43" t="s">
        <v>56</v>
      </c>
      <c r="AB43">
        <f t="shared" si="18"/>
        <v>45</v>
      </c>
      <c r="AC43" t="s">
        <v>71</v>
      </c>
      <c r="AD43">
        <f t="shared" si="19"/>
        <v>10</v>
      </c>
      <c r="AE43" t="str">
        <f t="shared" ref="AE43:AE46" ca="1" si="39">IF(AND(CHOOSE(MONTH(TODAY()),G43,H43,I43,J43,K43,L43,M43,N43,O43,P43,Q43,R43)="✔",AD43&gt;=7,AM43="Yes",AO43&gt;=50,OR(X43="No",X43=""),OR(E43="No",V43="Yes")),"⭐ PICK","")</f>
        <v/>
      </c>
      <c r="AI43">
        <v>5.867</v>
      </c>
      <c r="AJ43">
        <v>32.552999999999997</v>
      </c>
      <c r="AK43" t="s">
        <v>6</v>
      </c>
      <c r="AL43" s="5">
        <f t="shared" ref="AL43:AL46" ca="1" si="40">IFERROR(MOD((AI43-(MOD(18.697374558+24.065709824419*(TODAY()-DATE(2000,1,1)+0.5)+$AZ$1/15,24)))/1.00273790935,24)/24,"")</f>
        <v>1.1532881511544838E-2</v>
      </c>
      <c r="AM43" t="str">
        <f t="shared" ref="AM43:AM46" si="41">IF(AO43&gt;=20,"Yes","No")</f>
        <v>Yes</v>
      </c>
      <c r="AN43" s="7" t="str">
        <f t="shared" ref="AN43:AN46" ca="1" si="42">IF(AM43="Yes",TEXT(AL43,"h:mm AM/PM"),"")</f>
        <v>12:16 AM</v>
      </c>
      <c r="AO43">
        <v>89</v>
      </c>
      <c r="AP43">
        <f t="shared" ref="AP43:AP46" si="43">ROUND(MAX(0,MIN(10,(AO43-20)/6)),1)</f>
        <v>10</v>
      </c>
      <c r="AQ43" t="str">
        <f t="shared" ref="AQ43:AQ46" ca="1" si="44">IF(AE43="⭐ PICK","PICK at "&amp;AN43,"")</f>
        <v/>
      </c>
    </row>
    <row r="44" spans="1:43" x14ac:dyDescent="0.3">
      <c r="A44" t="s">
        <v>40</v>
      </c>
      <c r="B44" t="s">
        <v>105</v>
      </c>
      <c r="C44" t="s">
        <v>70</v>
      </c>
      <c r="D44" t="s">
        <v>76</v>
      </c>
      <c r="E44" t="s">
        <v>57</v>
      </c>
      <c r="L44" t="s">
        <v>45</v>
      </c>
      <c r="M44" t="s">
        <v>45</v>
      </c>
      <c r="N44" t="s">
        <v>45</v>
      </c>
      <c r="S44">
        <v>20</v>
      </c>
      <c r="X44" t="str">
        <f t="shared" si="17"/>
        <v>No</v>
      </c>
      <c r="Y44" t="s">
        <v>70</v>
      </c>
      <c r="Z44" t="s">
        <v>47</v>
      </c>
      <c r="AA44" t="s">
        <v>56</v>
      </c>
      <c r="AB44">
        <f t="shared" si="18"/>
        <v>20</v>
      </c>
      <c r="AC44" t="s">
        <v>71</v>
      </c>
      <c r="AD44">
        <f t="shared" si="19"/>
        <v>10</v>
      </c>
      <c r="AE44" t="str">
        <f t="shared" ca="1" si="39"/>
        <v/>
      </c>
      <c r="AI44">
        <v>5.4669999999999996</v>
      </c>
      <c r="AJ44">
        <v>35.854999999999997</v>
      </c>
      <c r="AK44" t="s">
        <v>6</v>
      </c>
      <c r="AL44" s="5">
        <f t="shared" ca="1" si="40"/>
        <v>0.99491172207271361</v>
      </c>
      <c r="AM44" t="str">
        <f t="shared" si="41"/>
        <v>Yes</v>
      </c>
      <c r="AN44" s="7" t="str">
        <f t="shared" ca="1" si="42"/>
        <v>11:52 PM</v>
      </c>
      <c r="AO44">
        <v>87.1</v>
      </c>
      <c r="AP44">
        <f t="shared" si="43"/>
        <v>10</v>
      </c>
      <c r="AQ44" t="str">
        <f t="shared" ca="1" si="44"/>
        <v/>
      </c>
    </row>
    <row r="45" spans="1:43" x14ac:dyDescent="0.3">
      <c r="A45" t="s">
        <v>40</v>
      </c>
      <c r="B45" t="s">
        <v>106</v>
      </c>
      <c r="D45" t="s">
        <v>69</v>
      </c>
      <c r="E45" t="s">
        <v>57</v>
      </c>
      <c r="G45" t="s">
        <v>45</v>
      </c>
      <c r="H45" t="s">
        <v>45</v>
      </c>
      <c r="I45" t="s">
        <v>45</v>
      </c>
      <c r="J45" t="s">
        <v>45</v>
      </c>
      <c r="K45" t="s">
        <v>45</v>
      </c>
      <c r="L45" t="s">
        <v>45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X45" t="str">
        <f t="shared" si="17"/>
        <v/>
      </c>
      <c r="AB45">
        <f t="shared" si="18"/>
        <v>45</v>
      </c>
      <c r="AD45">
        <f t="shared" si="19"/>
        <v>5</v>
      </c>
      <c r="AE45" t="str">
        <f t="shared" ca="1" si="39"/>
        <v/>
      </c>
      <c r="AI45">
        <v>21.516999999999999</v>
      </c>
      <c r="AJ45">
        <v>48.433</v>
      </c>
      <c r="AK45" t="s">
        <v>14</v>
      </c>
      <c r="AL45" s="5">
        <f t="shared" ca="1" si="40"/>
        <v>0.66183574455581751</v>
      </c>
      <c r="AM45" t="str">
        <f t="shared" si="41"/>
        <v>Yes</v>
      </c>
      <c r="AN45" s="7" t="str">
        <f t="shared" ca="1" si="42"/>
        <v>3:53 PM</v>
      </c>
      <c r="AO45">
        <v>39.200000000000003</v>
      </c>
      <c r="AP45">
        <f t="shared" si="43"/>
        <v>3.2</v>
      </c>
      <c r="AQ45" t="str">
        <f t="shared" ca="1" si="44"/>
        <v/>
      </c>
    </row>
    <row r="46" spans="1:43" x14ac:dyDescent="0.3">
      <c r="A46" t="s">
        <v>40</v>
      </c>
      <c r="B46" t="s">
        <v>110</v>
      </c>
      <c r="D46" t="s">
        <v>69</v>
      </c>
      <c r="E46" t="s">
        <v>57</v>
      </c>
      <c r="G46" t="s">
        <v>45</v>
      </c>
      <c r="H46" t="s">
        <v>45</v>
      </c>
      <c r="I46" t="s">
        <v>45</v>
      </c>
      <c r="J46" t="s">
        <v>45</v>
      </c>
      <c r="K46" t="s">
        <v>45</v>
      </c>
      <c r="L46" t="s">
        <v>45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X46" t="str">
        <f t="shared" si="17"/>
        <v/>
      </c>
      <c r="AB46">
        <f t="shared" si="18"/>
        <v>45</v>
      </c>
      <c r="AD46">
        <f t="shared" si="19"/>
        <v>5</v>
      </c>
      <c r="AE46" t="str">
        <f t="shared" ca="1" si="39"/>
        <v/>
      </c>
      <c r="AI46">
        <v>6.7670000000000003</v>
      </c>
      <c r="AJ46">
        <v>-20.757000000000001</v>
      </c>
      <c r="AK46" t="s">
        <v>6</v>
      </c>
      <c r="AL46" s="5">
        <f t="shared" ca="1" si="40"/>
        <v>4.8930490248915166E-2</v>
      </c>
      <c r="AM46" t="str">
        <f t="shared" si="41"/>
        <v>Yes</v>
      </c>
      <c r="AN46" s="7" t="str">
        <f t="shared" ca="1" si="42"/>
        <v>1:10 AM</v>
      </c>
      <c r="AO46">
        <v>36.200000000000003</v>
      </c>
      <c r="AP46">
        <f t="shared" si="43"/>
        <v>2.7</v>
      </c>
      <c r="AQ46" t="str">
        <f t="shared" ca="1" si="44"/>
        <v/>
      </c>
    </row>
    <row r="47" spans="1:43" hidden="1" x14ac:dyDescent="0.3">
      <c r="A47" t="s">
        <v>40</v>
      </c>
      <c r="B47" t="s">
        <v>113</v>
      </c>
      <c r="C47" t="s">
        <v>114</v>
      </c>
      <c r="D47" t="s">
        <v>115</v>
      </c>
      <c r="E47" t="s">
        <v>44</v>
      </c>
      <c r="N47" t="s">
        <v>45</v>
      </c>
      <c r="O47" t="s">
        <v>45</v>
      </c>
      <c r="P47" t="s">
        <v>45</v>
      </c>
      <c r="Q47" t="s">
        <v>45</v>
      </c>
      <c r="S47">
        <v>190</v>
      </c>
      <c r="W47">
        <v>3</v>
      </c>
      <c r="X47" t="str">
        <f t="shared" si="17"/>
        <v>Yes</v>
      </c>
      <c r="Y47" t="s">
        <v>116</v>
      </c>
      <c r="Z47" t="s">
        <v>48</v>
      </c>
      <c r="AA47" t="s">
        <v>117</v>
      </c>
      <c r="AB47">
        <f t="shared" si="18"/>
        <v>90</v>
      </c>
      <c r="AC47" t="s">
        <v>49</v>
      </c>
      <c r="AD47">
        <f t="shared" si="19"/>
        <v>4</v>
      </c>
      <c r="AE47" t="str">
        <f t="shared" ca="1" si="20"/>
        <v/>
      </c>
      <c r="AI47">
        <v>3.7829999999999999</v>
      </c>
      <c r="AJ47">
        <v>24.117000000000001</v>
      </c>
      <c r="AK47" t="s">
        <v>17</v>
      </c>
      <c r="AL47" t="s">
        <v>61</v>
      </c>
      <c r="AM47" t="s">
        <v>44</v>
      </c>
      <c r="AN47" t="s">
        <v>145</v>
      </c>
      <c r="AO47">
        <v>81.099999999999994</v>
      </c>
    </row>
    <row r="48" spans="1:43" hidden="1" x14ac:dyDescent="0.3">
      <c r="A48" t="s">
        <v>40</v>
      </c>
      <c r="B48" t="s">
        <v>118</v>
      </c>
      <c r="C48" t="s">
        <v>119</v>
      </c>
      <c r="D48" t="s">
        <v>115</v>
      </c>
      <c r="E48" t="s">
        <v>44</v>
      </c>
      <c r="N48" t="s">
        <v>45</v>
      </c>
      <c r="O48" t="s">
        <v>45</v>
      </c>
      <c r="P48" t="s">
        <v>45</v>
      </c>
      <c r="Q48" t="s">
        <v>45</v>
      </c>
      <c r="X48" t="str">
        <f t="shared" si="17"/>
        <v/>
      </c>
      <c r="AB48">
        <f t="shared" si="18"/>
        <v>45</v>
      </c>
      <c r="AD48">
        <f t="shared" si="19"/>
        <v>5</v>
      </c>
      <c r="AE48" t="str">
        <f t="shared" ca="1" si="20"/>
        <v/>
      </c>
      <c r="AI48">
        <v>7.6829999999999998</v>
      </c>
      <c r="AJ48">
        <v>-14.81</v>
      </c>
      <c r="AK48" t="s">
        <v>7</v>
      </c>
      <c r="AL48" t="s">
        <v>51</v>
      </c>
      <c r="AM48" t="s">
        <v>44</v>
      </c>
      <c r="AN48" t="s">
        <v>147</v>
      </c>
      <c r="AO48">
        <v>42.2</v>
      </c>
    </row>
    <row r="49" spans="1:43" hidden="1" x14ac:dyDescent="0.3">
      <c r="A49" t="s">
        <v>40</v>
      </c>
      <c r="B49" t="s">
        <v>120</v>
      </c>
      <c r="C49" t="s">
        <v>121</v>
      </c>
      <c r="D49" t="s">
        <v>115</v>
      </c>
      <c r="E49" t="s">
        <v>44</v>
      </c>
      <c r="N49" t="s">
        <v>45</v>
      </c>
      <c r="O49" t="s">
        <v>45</v>
      </c>
      <c r="P49" t="s">
        <v>45</v>
      </c>
      <c r="Q49" t="s">
        <v>45</v>
      </c>
      <c r="S49">
        <v>10</v>
      </c>
      <c r="X49" t="str">
        <f t="shared" si="17"/>
        <v>No</v>
      </c>
      <c r="Y49" t="s">
        <v>116</v>
      </c>
      <c r="Z49" t="s">
        <v>48</v>
      </c>
      <c r="AA49" t="s">
        <v>117</v>
      </c>
      <c r="AB49">
        <f t="shared" si="18"/>
        <v>90</v>
      </c>
      <c r="AC49" t="s">
        <v>49</v>
      </c>
      <c r="AD49">
        <f t="shared" si="19"/>
        <v>8</v>
      </c>
      <c r="AE49" t="str">
        <f t="shared" ca="1" si="20"/>
        <v/>
      </c>
      <c r="AI49">
        <v>7.6</v>
      </c>
      <c r="AJ49">
        <v>-14.483000000000001</v>
      </c>
      <c r="AK49" t="s">
        <v>7</v>
      </c>
      <c r="AL49" t="s">
        <v>51</v>
      </c>
      <c r="AM49" t="s">
        <v>44</v>
      </c>
      <c r="AN49" t="s">
        <v>147</v>
      </c>
      <c r="AO49">
        <v>42.5</v>
      </c>
    </row>
    <row r="50" spans="1:43" hidden="1" x14ac:dyDescent="0.3">
      <c r="A50" t="s">
        <v>40</v>
      </c>
      <c r="B50" t="s">
        <v>122</v>
      </c>
      <c r="C50" t="s">
        <v>70</v>
      </c>
      <c r="D50" t="s">
        <v>123</v>
      </c>
      <c r="E50" t="s">
        <v>44</v>
      </c>
      <c r="P50" t="s">
        <v>45</v>
      </c>
      <c r="Q50" t="s">
        <v>45</v>
      </c>
      <c r="R50" t="s">
        <v>45</v>
      </c>
      <c r="S50">
        <v>20</v>
      </c>
      <c r="X50" t="str">
        <f t="shared" si="17"/>
        <v>No</v>
      </c>
      <c r="Y50" t="s">
        <v>70</v>
      </c>
      <c r="Z50" t="s">
        <v>47</v>
      </c>
      <c r="AA50" t="s">
        <v>56</v>
      </c>
      <c r="AB50">
        <f t="shared" si="18"/>
        <v>20</v>
      </c>
      <c r="AC50" t="s">
        <v>71</v>
      </c>
      <c r="AD50">
        <f t="shared" si="19"/>
        <v>10</v>
      </c>
      <c r="AE50" t="str">
        <f t="shared" ca="1" si="20"/>
        <v/>
      </c>
      <c r="AI50">
        <v>8.2170000000000005</v>
      </c>
      <c r="AJ50">
        <v>-5.75</v>
      </c>
      <c r="AK50" t="s">
        <v>7</v>
      </c>
      <c r="AL50" t="s">
        <v>77</v>
      </c>
      <c r="AM50" t="s">
        <v>44</v>
      </c>
      <c r="AN50" t="s">
        <v>150</v>
      </c>
      <c r="AO50">
        <v>51.2</v>
      </c>
    </row>
    <row r="51" spans="1:43" hidden="1" x14ac:dyDescent="0.3">
      <c r="A51" t="s">
        <v>40</v>
      </c>
      <c r="B51" t="s">
        <v>124</v>
      </c>
      <c r="C51" t="s">
        <v>70</v>
      </c>
      <c r="D51" t="s">
        <v>125</v>
      </c>
      <c r="E51" t="s">
        <v>44</v>
      </c>
      <c r="G51" t="s">
        <v>45</v>
      </c>
      <c r="H51" t="s">
        <v>45</v>
      </c>
      <c r="R51" t="s">
        <v>45</v>
      </c>
      <c r="S51">
        <v>20</v>
      </c>
      <c r="X51" t="str">
        <f t="shared" ref="X51:X82" si="45">IF(S51="", "", IF(S51&gt;78,"Yes","No"))</f>
        <v>No</v>
      </c>
      <c r="Y51" t="s">
        <v>70</v>
      </c>
      <c r="Z51" t="s">
        <v>47</v>
      </c>
      <c r="AA51" t="s">
        <v>56</v>
      </c>
      <c r="AB51">
        <f t="shared" ref="AB51:AB82" si="46">IF(Y51="Emission Nebula",90,IF(Y51="Reflection Nebula",75,IF(Y51="Planetary Nebula",60,IF(Y51="Galaxy",90,IF(Y51="Globular Cluster",30,IF(Y51="Open Cluster",20,IF(Y51="Comet",20,IF(Y51="Planet",10,IF(Y51="Star",5,45)))))))))</f>
        <v>20</v>
      </c>
      <c r="AC51" t="s">
        <v>71</v>
      </c>
      <c r="AD51">
        <f t="shared" ref="AD51:AD82" si="47">MAX(1,MIN(10,ROUND((IF(S51="",5,IF(S51&lt;3,2,IF(S51&lt;10,4,IF(S51&lt;=70,8,IF(S51&lt;=100,6,4))))))+IF(Y51="Emission Nebula",2,IF(Y51="Open Cluster",2,IF(Y51="Globular Cluster",2,IF(Y51="Reflection Nebula",1,IF(Y51="Planetary Nebula",1,IF(Y51="Comet",1,0))))))+IF(Z51="High (easy)",2,IF(Z51="Medium",1,IF(Z51="Low (hard)",-1,0)))+IF(AA51="High (OK with Moon)",2,IF(AA51="Medium",0,IF(AA51="Low (needs dark)",-2,0)))+IF(AC51="High (best &gt;50°)",1,IF(AC51="Medium",0,IF(AC51="Low (OK)",-1,0))),0)))</f>
        <v>10</v>
      </c>
      <c r="AE51" t="str">
        <f t="shared" ref="AE51:AE82" ca="1" si="48">IF(AND(CHOOSE(MONTH(TODAY()),G51,H51,I51,J51,K51,L51,M51,N51,O51,P51,Q51,R51)="✔",AD51&gt;=7,OR(V51&lt;&gt;"No",V51=""),OR(X51="No",X51="")),"⭐ PICK","")</f>
        <v/>
      </c>
      <c r="AI51">
        <v>12.483000000000001</v>
      </c>
      <c r="AJ51">
        <v>8</v>
      </c>
      <c r="AK51" t="s">
        <v>9</v>
      </c>
      <c r="AL51" t="s">
        <v>52</v>
      </c>
      <c r="AM51" t="s">
        <v>44</v>
      </c>
      <c r="AN51" t="s">
        <v>62</v>
      </c>
      <c r="AO51">
        <v>46.9</v>
      </c>
    </row>
    <row r="52" spans="1:43" hidden="1" x14ac:dyDescent="0.3">
      <c r="A52" t="s">
        <v>40</v>
      </c>
      <c r="B52" t="s">
        <v>126</v>
      </c>
      <c r="C52" t="s">
        <v>70</v>
      </c>
      <c r="D52" t="s">
        <v>125</v>
      </c>
      <c r="E52" t="s">
        <v>44</v>
      </c>
      <c r="G52" t="s">
        <v>45</v>
      </c>
      <c r="H52" t="s">
        <v>45</v>
      </c>
      <c r="R52" t="s">
        <v>45</v>
      </c>
      <c r="S52">
        <v>20</v>
      </c>
      <c r="X52" t="str">
        <f t="shared" si="45"/>
        <v>No</v>
      </c>
      <c r="Y52" t="s">
        <v>70</v>
      </c>
      <c r="Z52" t="s">
        <v>47</v>
      </c>
      <c r="AA52" t="s">
        <v>56</v>
      </c>
      <c r="AB52">
        <f t="shared" si="46"/>
        <v>20</v>
      </c>
      <c r="AC52" t="s">
        <v>71</v>
      </c>
      <c r="AD52">
        <f t="shared" si="47"/>
        <v>10</v>
      </c>
      <c r="AE52" t="str">
        <f t="shared" ca="1" si="48"/>
        <v/>
      </c>
      <c r="AI52">
        <v>7.0330000000000004</v>
      </c>
      <c r="AJ52">
        <v>-8.3330000000000002</v>
      </c>
      <c r="AK52" t="s">
        <v>7</v>
      </c>
      <c r="AL52" t="s">
        <v>154</v>
      </c>
      <c r="AM52" t="s">
        <v>44</v>
      </c>
      <c r="AN52" t="s">
        <v>155</v>
      </c>
      <c r="AO52">
        <v>48.7</v>
      </c>
    </row>
    <row r="53" spans="1:43" hidden="1" x14ac:dyDescent="0.3">
      <c r="A53" t="s">
        <v>40</v>
      </c>
      <c r="B53" t="s">
        <v>127</v>
      </c>
      <c r="C53" t="s">
        <v>70</v>
      </c>
      <c r="D53" t="s">
        <v>125</v>
      </c>
      <c r="E53" t="s">
        <v>44</v>
      </c>
      <c r="G53" t="s">
        <v>45</v>
      </c>
      <c r="H53" t="s">
        <v>45</v>
      </c>
      <c r="R53" t="s">
        <v>45</v>
      </c>
      <c r="S53">
        <v>20</v>
      </c>
      <c r="X53" t="str">
        <f t="shared" si="45"/>
        <v>No</v>
      </c>
      <c r="Y53" t="s">
        <v>70</v>
      </c>
      <c r="Z53" t="s">
        <v>47</v>
      </c>
      <c r="AA53" t="s">
        <v>56</v>
      </c>
      <c r="AB53">
        <f t="shared" si="46"/>
        <v>20</v>
      </c>
      <c r="AC53" t="s">
        <v>71</v>
      </c>
      <c r="AD53">
        <f t="shared" si="47"/>
        <v>10</v>
      </c>
      <c r="AE53" t="str">
        <f t="shared" ca="1" si="48"/>
        <v/>
      </c>
      <c r="AI53">
        <v>13.483000000000001</v>
      </c>
      <c r="AJ53">
        <v>47.183</v>
      </c>
      <c r="AK53" t="s">
        <v>10</v>
      </c>
      <c r="AL53" t="s">
        <v>51</v>
      </c>
      <c r="AM53" t="s">
        <v>44</v>
      </c>
      <c r="AN53" t="s">
        <v>62</v>
      </c>
      <c r="AO53">
        <v>47.9</v>
      </c>
    </row>
    <row r="54" spans="1:43" hidden="1" x14ac:dyDescent="0.3">
      <c r="A54" t="s">
        <v>40</v>
      </c>
      <c r="B54" t="s">
        <v>128</v>
      </c>
      <c r="C54" t="s">
        <v>70</v>
      </c>
      <c r="D54" t="s">
        <v>125</v>
      </c>
      <c r="E54" t="s">
        <v>44</v>
      </c>
      <c r="G54" t="s">
        <v>45</v>
      </c>
      <c r="H54" t="s">
        <v>45</v>
      </c>
      <c r="R54" t="s">
        <v>45</v>
      </c>
      <c r="S54">
        <v>20</v>
      </c>
      <c r="X54" t="str">
        <f t="shared" si="45"/>
        <v>No</v>
      </c>
      <c r="Y54" t="s">
        <v>70</v>
      </c>
      <c r="Z54" t="s">
        <v>47</v>
      </c>
      <c r="AA54" t="s">
        <v>56</v>
      </c>
      <c r="AB54">
        <f t="shared" si="46"/>
        <v>20</v>
      </c>
      <c r="AC54" t="s">
        <v>71</v>
      </c>
      <c r="AD54">
        <f t="shared" si="47"/>
        <v>10</v>
      </c>
      <c r="AE54" t="str">
        <f t="shared" ca="1" si="48"/>
        <v/>
      </c>
      <c r="AI54">
        <v>23.4</v>
      </c>
      <c r="AJ54">
        <v>61.593000000000004</v>
      </c>
      <c r="AK54" t="s">
        <v>15</v>
      </c>
      <c r="AL54" t="s">
        <v>66</v>
      </c>
      <c r="AM54" t="s">
        <v>44</v>
      </c>
      <c r="AN54" t="s">
        <v>58</v>
      </c>
      <c r="AO54">
        <v>52.5</v>
      </c>
    </row>
    <row r="55" spans="1:43" x14ac:dyDescent="0.3">
      <c r="A55" t="s">
        <v>40</v>
      </c>
      <c r="B55" t="s">
        <v>111</v>
      </c>
      <c r="D55" t="s">
        <v>69</v>
      </c>
      <c r="E55" t="s">
        <v>57</v>
      </c>
      <c r="G55" t="s">
        <v>45</v>
      </c>
      <c r="H55" t="s">
        <v>45</v>
      </c>
      <c r="I55" t="s">
        <v>45</v>
      </c>
      <c r="J55" t="s">
        <v>45</v>
      </c>
      <c r="K55" t="s">
        <v>45</v>
      </c>
      <c r="L55" t="s">
        <v>45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s">
        <v>45</v>
      </c>
      <c r="X55" t="str">
        <f t="shared" si="45"/>
        <v/>
      </c>
      <c r="AB55">
        <f t="shared" si="46"/>
        <v>45</v>
      </c>
      <c r="AD55">
        <f t="shared" si="47"/>
        <v>5</v>
      </c>
      <c r="AE55" t="str">
        <f ca="1">IF(AND(CHOOSE(MONTH(TODAY()),G55,H55,I55,J55,K55,L55,M55,N55,O55,P55,Q55,R55)="✔",AD55&gt;=7,AM55="Yes",AO55&gt;=50,OR(X55="No",X55=""),OR(E55="No",V55="Yes")),"⭐ PICK","")</f>
        <v/>
      </c>
      <c r="AI55">
        <v>5.5830000000000002</v>
      </c>
      <c r="AJ55">
        <v>-5.383</v>
      </c>
      <c r="AK55" t="s">
        <v>6</v>
      </c>
      <c r="AL55" s="5">
        <f ca="1">IFERROR(MOD((AI55-(MOD(18.697374558+24.065709824419*(TODAY()-DATE(2000,1,1)+0.5)+$AZ$1/15,24)))/1.00273790935,24)/24,"")</f>
        <v>0.99973185830997469</v>
      </c>
      <c r="AM55" t="str">
        <f>IF(AO55&gt;=20,"Yes","No")</f>
        <v>Yes</v>
      </c>
      <c r="AN55" s="7" t="str">
        <f ca="1">IF(AM55="Yes",TEXT(AL55,"h:mm AM/PM"),"")</f>
        <v>11:59 PM</v>
      </c>
      <c r="AO55">
        <v>51.6</v>
      </c>
      <c r="AP55">
        <f>ROUND(MAX(0,MIN(10,(AO55-20)/6)),1)</f>
        <v>5.3</v>
      </c>
      <c r="AQ55" t="str">
        <f ca="1">IF(AE55="⭐ PICK","PICK at "&amp;AN55,"")</f>
        <v/>
      </c>
    </row>
    <row r="56" spans="1:43" hidden="1" x14ac:dyDescent="0.3">
      <c r="A56" t="s">
        <v>40</v>
      </c>
      <c r="B56" t="s">
        <v>63</v>
      </c>
      <c r="C56" t="s">
        <v>54</v>
      </c>
      <c r="D56" t="s">
        <v>60</v>
      </c>
      <c r="E56" t="s">
        <v>44</v>
      </c>
      <c r="K56" t="s">
        <v>45</v>
      </c>
      <c r="L56" t="s">
        <v>45</v>
      </c>
      <c r="M56" t="s">
        <v>45</v>
      </c>
      <c r="S56">
        <v>10</v>
      </c>
      <c r="X56" t="str">
        <f t="shared" si="45"/>
        <v>No</v>
      </c>
      <c r="Y56" t="s">
        <v>54</v>
      </c>
      <c r="Z56" t="s">
        <v>47</v>
      </c>
      <c r="AA56" t="s">
        <v>56</v>
      </c>
      <c r="AB56">
        <f t="shared" si="46"/>
        <v>30</v>
      </c>
      <c r="AC56" t="s">
        <v>48</v>
      </c>
      <c r="AD56">
        <f t="shared" si="47"/>
        <v>10</v>
      </c>
      <c r="AE56" t="str">
        <f t="shared" ca="1" si="48"/>
        <v/>
      </c>
      <c r="AI56">
        <v>18.917000000000002</v>
      </c>
      <c r="AJ56">
        <v>-30.466999999999999</v>
      </c>
      <c r="AK56" t="s">
        <v>13</v>
      </c>
      <c r="AL56" t="s">
        <v>154</v>
      </c>
      <c r="AM56" t="s">
        <v>57</v>
      </c>
      <c r="AN56" t="s">
        <v>58</v>
      </c>
      <c r="AO56">
        <v>-27.7</v>
      </c>
    </row>
    <row r="57" spans="1:43" hidden="1" x14ac:dyDescent="0.3">
      <c r="A57" t="s">
        <v>40</v>
      </c>
      <c r="B57" t="s">
        <v>130</v>
      </c>
      <c r="C57" t="s">
        <v>131</v>
      </c>
      <c r="D57" t="s">
        <v>132</v>
      </c>
      <c r="E57" t="s">
        <v>44</v>
      </c>
      <c r="G57" t="s">
        <v>45</v>
      </c>
      <c r="H57" t="s">
        <v>45</v>
      </c>
      <c r="I57" t="s">
        <v>45</v>
      </c>
      <c r="J57" t="s">
        <v>45</v>
      </c>
      <c r="K57" t="s">
        <v>45</v>
      </c>
      <c r="L57" t="s">
        <v>45</v>
      </c>
      <c r="M57" t="s">
        <v>45</v>
      </c>
      <c r="N57" t="s">
        <v>45</v>
      </c>
      <c r="O57" t="s">
        <v>45</v>
      </c>
      <c r="P57" t="s">
        <v>45</v>
      </c>
      <c r="Q57" t="s">
        <v>45</v>
      </c>
      <c r="R57" t="s">
        <v>45</v>
      </c>
      <c r="X57" t="str">
        <f t="shared" si="45"/>
        <v/>
      </c>
      <c r="AB57">
        <f t="shared" si="46"/>
        <v>45</v>
      </c>
      <c r="AD57">
        <f t="shared" si="47"/>
        <v>5</v>
      </c>
      <c r="AE57" t="str">
        <f t="shared" ca="1" si="48"/>
        <v/>
      </c>
      <c r="AI57">
        <v>19.649999999999999</v>
      </c>
      <c r="AJ57">
        <v>-30.95</v>
      </c>
      <c r="AK57" t="s">
        <v>13</v>
      </c>
      <c r="AL57" t="s">
        <v>61</v>
      </c>
      <c r="AM57" t="s">
        <v>57</v>
      </c>
      <c r="AN57" t="s">
        <v>58</v>
      </c>
      <c r="AO57">
        <v>-19.399999999999999</v>
      </c>
    </row>
    <row r="58" spans="1:43" hidden="1" x14ac:dyDescent="0.3">
      <c r="A58" t="s">
        <v>40</v>
      </c>
      <c r="B58" t="s">
        <v>133</v>
      </c>
      <c r="C58" t="s">
        <v>70</v>
      </c>
      <c r="D58" t="s">
        <v>125</v>
      </c>
      <c r="E58" t="s">
        <v>44</v>
      </c>
      <c r="G58" t="s">
        <v>45</v>
      </c>
      <c r="H58" t="s">
        <v>45</v>
      </c>
      <c r="R58" t="s">
        <v>45</v>
      </c>
      <c r="S58">
        <v>20</v>
      </c>
      <c r="X58" t="str">
        <f t="shared" si="45"/>
        <v>No</v>
      </c>
      <c r="Y58" t="s">
        <v>70</v>
      </c>
      <c r="Z58" t="s">
        <v>47</v>
      </c>
      <c r="AA58" t="s">
        <v>56</v>
      </c>
      <c r="AB58">
        <f t="shared" si="46"/>
        <v>20</v>
      </c>
      <c r="AC58" t="s">
        <v>71</v>
      </c>
      <c r="AD58">
        <f t="shared" si="47"/>
        <v>10</v>
      </c>
      <c r="AE58" t="str">
        <f t="shared" ca="1" si="48"/>
        <v/>
      </c>
      <c r="AI58">
        <v>19.266999999999999</v>
      </c>
      <c r="AJ58">
        <v>30.183</v>
      </c>
      <c r="AK58" t="s">
        <v>13</v>
      </c>
      <c r="AL58" t="s">
        <v>161</v>
      </c>
      <c r="AM58" t="s">
        <v>57</v>
      </c>
      <c r="AN58" t="s">
        <v>58</v>
      </c>
      <c r="AO58">
        <v>8.6</v>
      </c>
    </row>
    <row r="59" spans="1:43" hidden="1" x14ac:dyDescent="0.3">
      <c r="A59" t="s">
        <v>40</v>
      </c>
      <c r="B59" t="s">
        <v>134</v>
      </c>
      <c r="C59" t="s">
        <v>135</v>
      </c>
      <c r="D59" t="s">
        <v>136</v>
      </c>
      <c r="E59" t="s">
        <v>44</v>
      </c>
      <c r="G59" t="s">
        <v>45</v>
      </c>
      <c r="H59" t="s">
        <v>45</v>
      </c>
      <c r="I59" t="s">
        <v>45</v>
      </c>
      <c r="R59" t="s">
        <v>45</v>
      </c>
      <c r="S59">
        <v>85</v>
      </c>
      <c r="W59">
        <v>4</v>
      </c>
      <c r="X59" t="str">
        <f t="shared" si="45"/>
        <v>Yes</v>
      </c>
      <c r="Y59" t="s">
        <v>46</v>
      </c>
      <c r="Z59" t="s">
        <v>47</v>
      </c>
      <c r="AA59" t="s">
        <v>48</v>
      </c>
      <c r="AB59">
        <f t="shared" si="46"/>
        <v>90</v>
      </c>
      <c r="AC59" t="s">
        <v>49</v>
      </c>
      <c r="AD59">
        <f t="shared" si="47"/>
        <v>10</v>
      </c>
      <c r="AE59" t="str">
        <f t="shared" ca="1" si="48"/>
        <v/>
      </c>
      <c r="AI59">
        <v>18.882999999999999</v>
      </c>
      <c r="AJ59">
        <v>33.017000000000003</v>
      </c>
      <c r="AK59" t="s">
        <v>12</v>
      </c>
      <c r="AL59" t="s">
        <v>83</v>
      </c>
      <c r="AM59" t="s">
        <v>57</v>
      </c>
      <c r="AN59" t="s">
        <v>58</v>
      </c>
      <c r="AO59">
        <v>6.1</v>
      </c>
    </row>
    <row r="60" spans="1:43" hidden="1" x14ac:dyDescent="0.3">
      <c r="A60" t="s">
        <v>40</v>
      </c>
      <c r="B60" t="s">
        <v>137</v>
      </c>
      <c r="C60" t="s">
        <v>138</v>
      </c>
      <c r="D60" t="s">
        <v>136</v>
      </c>
      <c r="E60" t="s">
        <v>44</v>
      </c>
      <c r="G60" t="s">
        <v>45</v>
      </c>
      <c r="H60" t="s">
        <v>45</v>
      </c>
      <c r="I60" t="s">
        <v>45</v>
      </c>
      <c r="R60" t="s">
        <v>45</v>
      </c>
      <c r="S60">
        <v>60</v>
      </c>
      <c r="T60">
        <v>20</v>
      </c>
      <c r="V60" t="s">
        <v>383</v>
      </c>
      <c r="X60" t="str">
        <f t="shared" si="45"/>
        <v>No</v>
      </c>
      <c r="Y60" t="s">
        <v>46</v>
      </c>
      <c r="Z60" t="s">
        <v>47</v>
      </c>
      <c r="AA60" t="s">
        <v>48</v>
      </c>
      <c r="AB60">
        <f t="shared" si="46"/>
        <v>90</v>
      </c>
      <c r="AC60" t="s">
        <v>49</v>
      </c>
      <c r="AD60">
        <f t="shared" si="47"/>
        <v>10</v>
      </c>
      <c r="AE60" t="str">
        <f t="shared" ca="1" si="48"/>
        <v>⭐ PICK</v>
      </c>
      <c r="AI60">
        <v>12.617000000000001</v>
      </c>
      <c r="AJ60">
        <v>11.817</v>
      </c>
      <c r="AK60" t="s">
        <v>9</v>
      </c>
      <c r="AL60" t="s">
        <v>87</v>
      </c>
      <c r="AM60" t="s">
        <v>44</v>
      </c>
      <c r="AN60" t="s">
        <v>62</v>
      </c>
      <c r="AO60">
        <v>47.7</v>
      </c>
    </row>
    <row r="61" spans="1:43" hidden="1" x14ac:dyDescent="0.3">
      <c r="A61" t="s">
        <v>40</v>
      </c>
      <c r="B61" t="s">
        <v>139</v>
      </c>
      <c r="C61" t="s">
        <v>140</v>
      </c>
      <c r="D61" t="s">
        <v>141</v>
      </c>
      <c r="E61" t="s">
        <v>44</v>
      </c>
      <c r="H61" t="s">
        <v>45</v>
      </c>
      <c r="I61" t="s">
        <v>45</v>
      </c>
      <c r="J61" t="s">
        <v>45</v>
      </c>
      <c r="S61">
        <v>20</v>
      </c>
      <c r="X61" t="str">
        <f t="shared" si="45"/>
        <v>No</v>
      </c>
      <c r="Y61" t="s">
        <v>70</v>
      </c>
      <c r="Z61" t="s">
        <v>47</v>
      </c>
      <c r="AA61" t="s">
        <v>56</v>
      </c>
      <c r="AB61">
        <f t="shared" si="46"/>
        <v>20</v>
      </c>
      <c r="AC61" t="s">
        <v>71</v>
      </c>
      <c r="AD61">
        <f t="shared" si="47"/>
        <v>10</v>
      </c>
      <c r="AE61" t="str">
        <f t="shared" ca="1" si="48"/>
        <v>⭐ PICK</v>
      </c>
      <c r="AI61">
        <v>12.7</v>
      </c>
      <c r="AJ61">
        <v>11.632999999999999</v>
      </c>
      <c r="AK61" t="s">
        <v>9</v>
      </c>
      <c r="AL61" t="s">
        <v>87</v>
      </c>
      <c r="AM61" t="s">
        <v>44</v>
      </c>
      <c r="AN61" t="s">
        <v>62</v>
      </c>
      <c r="AO61">
        <v>46.7</v>
      </c>
    </row>
    <row r="62" spans="1:43" hidden="1" x14ac:dyDescent="0.3">
      <c r="A62" t="s">
        <v>40</v>
      </c>
      <c r="B62" t="s">
        <v>142</v>
      </c>
      <c r="C62" t="s">
        <v>143</v>
      </c>
      <c r="D62" t="s">
        <v>144</v>
      </c>
      <c r="E62" t="s">
        <v>44</v>
      </c>
      <c r="G62" t="s">
        <v>45</v>
      </c>
      <c r="H62" t="s">
        <v>45</v>
      </c>
      <c r="Q62" t="s">
        <v>45</v>
      </c>
      <c r="R62" t="s">
        <v>45</v>
      </c>
      <c r="S62">
        <v>110</v>
      </c>
      <c r="W62">
        <v>3</v>
      </c>
      <c r="X62" t="str">
        <f t="shared" si="45"/>
        <v>Yes</v>
      </c>
      <c r="AB62">
        <f t="shared" si="46"/>
        <v>45</v>
      </c>
      <c r="AD62">
        <f t="shared" si="47"/>
        <v>4</v>
      </c>
      <c r="AE62" t="str">
        <f t="shared" ca="1" si="48"/>
        <v/>
      </c>
      <c r="AI62">
        <v>12.717000000000001</v>
      </c>
      <c r="AJ62">
        <v>11.55</v>
      </c>
      <c r="AK62" t="s">
        <v>9</v>
      </c>
      <c r="AL62" t="s">
        <v>87</v>
      </c>
      <c r="AM62" t="s">
        <v>44</v>
      </c>
      <c r="AN62" t="s">
        <v>62</v>
      </c>
      <c r="AO62">
        <v>46.4</v>
      </c>
    </row>
    <row r="63" spans="1:43" hidden="1" x14ac:dyDescent="0.3">
      <c r="A63" t="s">
        <v>40</v>
      </c>
      <c r="B63" t="s">
        <v>146</v>
      </c>
      <c r="C63" t="s">
        <v>70</v>
      </c>
      <c r="D63" t="s">
        <v>43</v>
      </c>
      <c r="E63" t="s">
        <v>44</v>
      </c>
      <c r="G63" t="s">
        <v>45</v>
      </c>
      <c r="H63" t="s">
        <v>45</v>
      </c>
      <c r="I63" t="s">
        <v>45</v>
      </c>
      <c r="S63">
        <v>20</v>
      </c>
      <c r="X63" t="str">
        <f t="shared" si="45"/>
        <v>No</v>
      </c>
      <c r="Y63" t="s">
        <v>70</v>
      </c>
      <c r="Z63" t="s">
        <v>47</v>
      </c>
      <c r="AA63" t="s">
        <v>56</v>
      </c>
      <c r="AB63">
        <f t="shared" si="46"/>
        <v>20</v>
      </c>
      <c r="AC63" t="s">
        <v>71</v>
      </c>
      <c r="AD63">
        <f t="shared" si="47"/>
        <v>10</v>
      </c>
      <c r="AE63" t="str">
        <f t="shared" ca="1" si="48"/>
        <v>⭐ PICK</v>
      </c>
      <c r="AI63">
        <v>12.35</v>
      </c>
      <c r="AJ63">
        <v>4.4669999999999996</v>
      </c>
      <c r="AK63" t="s">
        <v>9</v>
      </c>
      <c r="AL63" t="s">
        <v>64</v>
      </c>
      <c r="AM63" t="s">
        <v>44</v>
      </c>
      <c r="AN63" t="s">
        <v>62</v>
      </c>
      <c r="AO63">
        <v>45.9</v>
      </c>
    </row>
    <row r="64" spans="1:43" hidden="1" x14ac:dyDescent="0.3">
      <c r="A64" t="s">
        <v>40</v>
      </c>
      <c r="B64" t="s">
        <v>148</v>
      </c>
      <c r="C64" t="s">
        <v>70</v>
      </c>
      <c r="D64" t="s">
        <v>43</v>
      </c>
      <c r="E64" t="s">
        <v>44</v>
      </c>
      <c r="G64" t="s">
        <v>45</v>
      </c>
      <c r="H64" t="s">
        <v>45</v>
      </c>
      <c r="I64" t="s">
        <v>45</v>
      </c>
      <c r="S64">
        <v>20</v>
      </c>
      <c r="X64" t="str">
        <f t="shared" si="45"/>
        <v>No</v>
      </c>
      <c r="Y64" t="s">
        <v>70</v>
      </c>
      <c r="Z64" t="s">
        <v>47</v>
      </c>
      <c r="AA64" t="s">
        <v>56</v>
      </c>
      <c r="AB64">
        <f t="shared" si="46"/>
        <v>20</v>
      </c>
      <c r="AC64" t="s">
        <v>71</v>
      </c>
      <c r="AD64">
        <f t="shared" si="47"/>
        <v>10</v>
      </c>
      <c r="AE64" t="str">
        <f t="shared" ca="1" si="48"/>
        <v>⭐ PICK</v>
      </c>
      <c r="AI64">
        <v>17.016999999999999</v>
      </c>
      <c r="AJ64">
        <v>-30.1</v>
      </c>
      <c r="AK64" t="s">
        <v>12</v>
      </c>
      <c r="AL64" t="s">
        <v>80</v>
      </c>
      <c r="AM64" t="s">
        <v>57</v>
      </c>
      <c r="AN64" t="s">
        <v>62</v>
      </c>
      <c r="AO64">
        <v>-28.3</v>
      </c>
    </row>
    <row r="65" spans="1:43" hidden="1" x14ac:dyDescent="0.3">
      <c r="A65" t="s">
        <v>40</v>
      </c>
      <c r="B65" t="s">
        <v>149</v>
      </c>
      <c r="C65" t="s">
        <v>70</v>
      </c>
      <c r="D65" t="s">
        <v>141</v>
      </c>
      <c r="E65" t="s">
        <v>44</v>
      </c>
      <c r="H65" t="s">
        <v>45</v>
      </c>
      <c r="I65" t="s">
        <v>45</v>
      </c>
      <c r="J65" t="s">
        <v>45</v>
      </c>
      <c r="S65">
        <v>20</v>
      </c>
      <c r="X65" t="str">
        <f t="shared" si="45"/>
        <v>No</v>
      </c>
      <c r="Y65" t="s">
        <v>70</v>
      </c>
      <c r="Z65" t="s">
        <v>47</v>
      </c>
      <c r="AA65" t="s">
        <v>56</v>
      </c>
      <c r="AB65">
        <f t="shared" si="46"/>
        <v>20</v>
      </c>
      <c r="AC65" t="s">
        <v>71</v>
      </c>
      <c r="AD65">
        <f t="shared" si="47"/>
        <v>10</v>
      </c>
      <c r="AE65" t="str">
        <f t="shared" ca="1" si="48"/>
        <v>⭐ PICK</v>
      </c>
      <c r="AI65">
        <v>13.25</v>
      </c>
      <c r="AJ65">
        <v>42.017000000000003</v>
      </c>
      <c r="AK65" t="s">
        <v>10</v>
      </c>
      <c r="AL65" t="s">
        <v>66</v>
      </c>
      <c r="AM65" t="s">
        <v>44</v>
      </c>
      <c r="AN65" t="s">
        <v>62</v>
      </c>
      <c r="AO65">
        <v>50.3</v>
      </c>
    </row>
    <row r="66" spans="1:43" x14ac:dyDescent="0.3">
      <c r="A66" t="s">
        <v>40</v>
      </c>
      <c r="B66" t="s">
        <v>59</v>
      </c>
      <c r="C66" t="s">
        <v>54</v>
      </c>
      <c r="D66" t="s">
        <v>60</v>
      </c>
      <c r="E66" t="s">
        <v>57</v>
      </c>
      <c r="K66" t="s">
        <v>45</v>
      </c>
      <c r="L66" t="s">
        <v>45</v>
      </c>
      <c r="M66" t="s">
        <v>45</v>
      </c>
      <c r="S66">
        <v>10</v>
      </c>
      <c r="X66" t="str">
        <f t="shared" si="45"/>
        <v>No</v>
      </c>
      <c r="Y66" t="s">
        <v>54</v>
      </c>
      <c r="Z66" t="s">
        <v>47</v>
      </c>
      <c r="AA66" t="s">
        <v>56</v>
      </c>
      <c r="AB66">
        <f t="shared" si="46"/>
        <v>30</v>
      </c>
      <c r="AC66" t="s">
        <v>48</v>
      </c>
      <c r="AD66">
        <f t="shared" si="47"/>
        <v>10</v>
      </c>
      <c r="AE66" t="str">
        <f ca="1">IF(AND(CHOOSE(MONTH(TODAY()),G66,H66,I66,J66,K66,L66,M66,N66,O66,P66,Q66,R66)="✔",AD66&gt;=7,AM66="Yes",AO66&gt;=50,OR(X66="No",X66=""),OR(E66="No",V66="Yes")),"⭐ PICK","")</f>
        <v/>
      </c>
      <c r="AI66">
        <v>5.5830000000000002</v>
      </c>
      <c r="AJ66">
        <v>-5.27</v>
      </c>
      <c r="AK66" t="s">
        <v>6</v>
      </c>
      <c r="AL66" s="5">
        <f ca="1">IFERROR(MOD((AI66-(MOD(18.697374558+24.065709824419*(TODAY()-DATE(2000,1,1)+0.5)+$AZ$1/15,24)))/1.00273790935,24)/24,"")</f>
        <v>0.99973185830997469</v>
      </c>
      <c r="AM66" t="str">
        <f>IF(AO66&gt;=20,"Yes","No")</f>
        <v>Yes</v>
      </c>
      <c r="AN66" s="7" t="str">
        <f ca="1">IF(AM66="Yes",TEXT(AL66,"h:mm AM/PM"),"")</f>
        <v>11:59 PM</v>
      </c>
      <c r="AO66">
        <v>51.7</v>
      </c>
      <c r="AP66">
        <f>ROUND(MAX(0,MIN(10,(AO66-20)/6)),1)</f>
        <v>5.3</v>
      </c>
      <c r="AQ66" t="str">
        <f ca="1">IF(AE66="⭐ PICK","PICK at "&amp;AN66,"")</f>
        <v/>
      </c>
    </row>
    <row r="67" spans="1:43" hidden="1" x14ac:dyDescent="0.3">
      <c r="A67" t="s">
        <v>40</v>
      </c>
      <c r="B67" t="s">
        <v>65</v>
      </c>
      <c r="C67" t="s">
        <v>54</v>
      </c>
      <c r="D67" t="s">
        <v>60</v>
      </c>
      <c r="E67" t="s">
        <v>44</v>
      </c>
      <c r="K67" t="s">
        <v>45</v>
      </c>
      <c r="L67" t="s">
        <v>45</v>
      </c>
      <c r="M67" t="s">
        <v>45</v>
      </c>
      <c r="S67">
        <v>10</v>
      </c>
      <c r="X67" t="str">
        <f t="shared" si="45"/>
        <v>No</v>
      </c>
      <c r="Y67" t="s">
        <v>54</v>
      </c>
      <c r="Z67" t="s">
        <v>47</v>
      </c>
      <c r="AA67" t="s">
        <v>56</v>
      </c>
      <c r="AB67">
        <f t="shared" si="46"/>
        <v>30</v>
      </c>
      <c r="AC67" t="s">
        <v>48</v>
      </c>
      <c r="AD67">
        <f t="shared" si="47"/>
        <v>10</v>
      </c>
      <c r="AE67" t="str">
        <f t="shared" ca="1" si="48"/>
        <v/>
      </c>
      <c r="AI67">
        <v>11.3</v>
      </c>
      <c r="AJ67">
        <v>13.083</v>
      </c>
      <c r="AK67" t="s">
        <v>9</v>
      </c>
      <c r="AL67" t="s">
        <v>66</v>
      </c>
      <c r="AM67" t="s">
        <v>44</v>
      </c>
      <c r="AN67" t="s">
        <v>62</v>
      </c>
      <c r="AO67">
        <v>62.8</v>
      </c>
    </row>
    <row r="68" spans="1:43" hidden="1" x14ac:dyDescent="0.3">
      <c r="A68" t="s">
        <v>40</v>
      </c>
      <c r="B68" t="s">
        <v>153</v>
      </c>
      <c r="C68" t="s">
        <v>70</v>
      </c>
      <c r="D68" t="s">
        <v>125</v>
      </c>
      <c r="E68" t="s">
        <v>44</v>
      </c>
      <c r="G68" t="s">
        <v>45</v>
      </c>
      <c r="H68" t="s">
        <v>45</v>
      </c>
      <c r="R68" t="s">
        <v>45</v>
      </c>
      <c r="S68">
        <v>20</v>
      </c>
      <c r="X68" t="str">
        <f t="shared" si="45"/>
        <v>No</v>
      </c>
      <c r="Y68" t="s">
        <v>70</v>
      </c>
      <c r="Z68" t="s">
        <v>47</v>
      </c>
      <c r="AA68" t="s">
        <v>56</v>
      </c>
      <c r="AB68">
        <f t="shared" si="46"/>
        <v>20</v>
      </c>
      <c r="AC68" t="s">
        <v>71</v>
      </c>
      <c r="AD68">
        <f t="shared" si="47"/>
        <v>10</v>
      </c>
      <c r="AE68" t="str">
        <f t="shared" ca="1" si="48"/>
        <v/>
      </c>
      <c r="AI68">
        <v>11.333</v>
      </c>
      <c r="AJ68">
        <v>12.983000000000001</v>
      </c>
      <c r="AK68" t="s">
        <v>9</v>
      </c>
      <c r="AL68" t="s">
        <v>66</v>
      </c>
      <c r="AM68" t="s">
        <v>44</v>
      </c>
      <c r="AN68" t="s">
        <v>62</v>
      </c>
      <c r="AO68">
        <v>62.4</v>
      </c>
    </row>
    <row r="69" spans="1:43" hidden="1" x14ac:dyDescent="0.3">
      <c r="A69" t="s">
        <v>40</v>
      </c>
      <c r="B69" t="s">
        <v>156</v>
      </c>
      <c r="C69" t="s">
        <v>157</v>
      </c>
      <c r="D69" t="s">
        <v>158</v>
      </c>
      <c r="E69" t="s">
        <v>44</v>
      </c>
      <c r="J69" t="s">
        <v>45</v>
      </c>
      <c r="K69" t="s">
        <v>45</v>
      </c>
      <c r="L69" t="s">
        <v>45</v>
      </c>
      <c r="S69">
        <v>11</v>
      </c>
      <c r="W69">
        <v>5</v>
      </c>
      <c r="X69" t="str">
        <f t="shared" si="45"/>
        <v>No</v>
      </c>
      <c r="Y69" t="s">
        <v>116</v>
      </c>
      <c r="Z69" t="s">
        <v>48</v>
      </c>
      <c r="AA69" t="s">
        <v>117</v>
      </c>
      <c r="AB69">
        <f t="shared" si="46"/>
        <v>90</v>
      </c>
      <c r="AC69" t="s">
        <v>49</v>
      </c>
      <c r="AD69">
        <f t="shared" si="47"/>
        <v>8</v>
      </c>
      <c r="AE69" t="str">
        <f t="shared" ca="1" si="48"/>
        <v/>
      </c>
      <c r="AI69">
        <v>8.85</v>
      </c>
      <c r="AJ69">
        <v>11.8</v>
      </c>
      <c r="AK69" t="s">
        <v>7</v>
      </c>
      <c r="AL69" t="s">
        <v>87</v>
      </c>
      <c r="AM69" t="s">
        <v>44</v>
      </c>
      <c r="AN69" t="s">
        <v>182</v>
      </c>
      <c r="AO69">
        <v>68.8</v>
      </c>
    </row>
    <row r="70" spans="1:43" x14ac:dyDescent="0.3">
      <c r="A70" t="s">
        <v>40</v>
      </c>
      <c r="B70" t="s">
        <v>112</v>
      </c>
      <c r="D70" t="s">
        <v>69</v>
      </c>
      <c r="E70" t="s">
        <v>57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R70" t="s">
        <v>45</v>
      </c>
      <c r="X70" t="str">
        <f t="shared" si="45"/>
        <v/>
      </c>
      <c r="AB70">
        <f t="shared" si="46"/>
        <v>45</v>
      </c>
      <c r="AD70">
        <f t="shared" si="47"/>
        <v>5</v>
      </c>
      <c r="AE70" t="str">
        <f t="shared" ref="AE70:AE81" ca="1" si="49">IF(AND(CHOOSE(MONTH(TODAY()),G70,H70,I70,J70,K70,L70,M70,N70,O70,P70,Q70,R70)="✔",AD70&gt;=7,AM70="Yes",AO70&gt;=50,OR(X70="No",X70=""),OR(E70="No",V70="Yes")),"⭐ PICK","")</f>
        <v/>
      </c>
      <c r="AI70">
        <v>8.6669999999999998</v>
      </c>
      <c r="AJ70">
        <v>19.667000000000002</v>
      </c>
      <c r="AK70" t="s">
        <v>7</v>
      </c>
      <c r="AL70" s="5">
        <f t="shared" ref="AL70:AL81" ca="1" si="50">IFERROR(MOD((AI70-(MOD(18.697374558+24.065709824419*(TODAY()-DATE(2000,1,1)+0.5)+$AZ$1/15,24)))/1.00273790935,24)/24,"")</f>
        <v>0.12788099758336358</v>
      </c>
      <c r="AM70" t="str">
        <f t="shared" ref="AM70:AM81" si="51">IF(AO70&gt;=20,"Yes","No")</f>
        <v>Yes</v>
      </c>
      <c r="AN70" s="7" t="str">
        <f t="shared" ref="AN70:AN81" ca="1" si="52">IF(AM70="Yes",TEXT(AL70,"h:mm AM/PM"),"")</f>
        <v>3:04 AM</v>
      </c>
      <c r="AO70">
        <v>76.599999999999994</v>
      </c>
      <c r="AP70">
        <f t="shared" ref="AP70:AP81" si="53">ROUND(MAX(0,MIN(10,(AO70-20)/6)),1)</f>
        <v>9.4</v>
      </c>
      <c r="AQ70" t="str">
        <f t="shared" ref="AQ70:AQ81" ca="1" si="54">IF(AE70="⭐ PICK","PICK at "&amp;AN70,"")</f>
        <v/>
      </c>
    </row>
    <row r="71" spans="1:43" x14ac:dyDescent="0.3">
      <c r="A71" t="s">
        <v>40</v>
      </c>
      <c r="B71" t="s">
        <v>129</v>
      </c>
      <c r="C71" t="s">
        <v>70</v>
      </c>
      <c r="D71" t="s">
        <v>69</v>
      </c>
      <c r="E71" t="s">
        <v>57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45</v>
      </c>
      <c r="M71" t="s">
        <v>45</v>
      </c>
      <c r="N71" t="s">
        <v>45</v>
      </c>
      <c r="O71" t="s">
        <v>45</v>
      </c>
      <c r="P71" t="s">
        <v>45</v>
      </c>
      <c r="Q71" t="s">
        <v>45</v>
      </c>
      <c r="R71" t="s">
        <v>45</v>
      </c>
      <c r="S71">
        <v>20</v>
      </c>
      <c r="X71" t="str">
        <f t="shared" si="45"/>
        <v>No</v>
      </c>
      <c r="Y71" t="s">
        <v>70</v>
      </c>
      <c r="Z71" t="s">
        <v>47</v>
      </c>
      <c r="AA71" t="s">
        <v>56</v>
      </c>
      <c r="AB71">
        <f t="shared" si="46"/>
        <v>20</v>
      </c>
      <c r="AC71" t="s">
        <v>71</v>
      </c>
      <c r="AD71">
        <f t="shared" si="47"/>
        <v>10</v>
      </c>
      <c r="AE71" t="str">
        <f t="shared" ca="1" si="49"/>
        <v/>
      </c>
      <c r="AI71">
        <v>13.2</v>
      </c>
      <c r="AJ71">
        <v>18.167000000000002</v>
      </c>
      <c r="AK71" t="s">
        <v>10</v>
      </c>
      <c r="AL71" s="5">
        <f t="shared" ca="1" si="50"/>
        <v>0.3162402869239187</v>
      </c>
      <c r="AM71" t="str">
        <f t="shared" si="51"/>
        <v>Yes</v>
      </c>
      <c r="AN71" s="7" t="str">
        <f t="shared" ca="1" si="52"/>
        <v>7:35 AM</v>
      </c>
      <c r="AO71">
        <v>44</v>
      </c>
      <c r="AP71">
        <f t="shared" si="53"/>
        <v>4</v>
      </c>
      <c r="AQ71" t="str">
        <f t="shared" ca="1" si="54"/>
        <v/>
      </c>
    </row>
    <row r="72" spans="1:43" x14ac:dyDescent="0.3">
      <c r="A72" t="s">
        <v>40</v>
      </c>
      <c r="B72" t="s">
        <v>151</v>
      </c>
      <c r="C72" t="s">
        <v>152</v>
      </c>
      <c r="D72" t="s">
        <v>69</v>
      </c>
      <c r="E72" t="s">
        <v>57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45</v>
      </c>
      <c r="M72" t="s">
        <v>45</v>
      </c>
      <c r="N72" t="s">
        <v>45</v>
      </c>
      <c r="O72" t="s">
        <v>45</v>
      </c>
      <c r="P72" t="s">
        <v>45</v>
      </c>
      <c r="Q72" t="s">
        <v>45</v>
      </c>
      <c r="R72" t="s">
        <v>45</v>
      </c>
      <c r="S72">
        <v>10</v>
      </c>
      <c r="X72" t="str">
        <f t="shared" si="45"/>
        <v>No</v>
      </c>
      <c r="Y72" t="s">
        <v>116</v>
      </c>
      <c r="Z72" t="s">
        <v>48</v>
      </c>
      <c r="AA72" t="s">
        <v>117</v>
      </c>
      <c r="AB72">
        <f t="shared" si="46"/>
        <v>90</v>
      </c>
      <c r="AC72" t="s">
        <v>49</v>
      </c>
      <c r="AD72">
        <f t="shared" si="47"/>
        <v>8</v>
      </c>
      <c r="AE72" t="str">
        <f t="shared" ca="1" si="49"/>
        <v/>
      </c>
      <c r="AI72">
        <v>12.933</v>
      </c>
      <c r="AJ72">
        <v>21.667000000000002</v>
      </c>
      <c r="AK72" t="s">
        <v>10</v>
      </c>
      <c r="AL72" s="5">
        <f t="shared" ca="1" si="50"/>
        <v>0.30514566299849888</v>
      </c>
      <c r="AM72" t="str">
        <f t="shared" si="51"/>
        <v>Yes</v>
      </c>
      <c r="AN72" s="7" t="str">
        <f t="shared" ca="1" si="52"/>
        <v>7:19 AM</v>
      </c>
      <c r="AO72">
        <v>49</v>
      </c>
      <c r="AP72">
        <f t="shared" si="53"/>
        <v>4.8</v>
      </c>
      <c r="AQ72" t="str">
        <f t="shared" ca="1" si="54"/>
        <v/>
      </c>
    </row>
    <row r="73" spans="1:43" x14ac:dyDescent="0.3">
      <c r="A73" t="s">
        <v>40</v>
      </c>
      <c r="B73" t="s">
        <v>159</v>
      </c>
      <c r="C73" t="s">
        <v>70</v>
      </c>
      <c r="D73" t="s">
        <v>115</v>
      </c>
      <c r="E73" t="s">
        <v>57</v>
      </c>
      <c r="N73" t="s">
        <v>45</v>
      </c>
      <c r="O73" t="s">
        <v>45</v>
      </c>
      <c r="P73" t="s">
        <v>45</v>
      </c>
      <c r="Q73" t="s">
        <v>45</v>
      </c>
      <c r="S73">
        <v>20</v>
      </c>
      <c r="X73" t="str">
        <f t="shared" si="45"/>
        <v>No</v>
      </c>
      <c r="Y73" t="s">
        <v>70</v>
      </c>
      <c r="Z73" t="s">
        <v>47</v>
      </c>
      <c r="AA73" t="s">
        <v>56</v>
      </c>
      <c r="AB73">
        <f t="shared" si="46"/>
        <v>20</v>
      </c>
      <c r="AC73" t="s">
        <v>71</v>
      </c>
      <c r="AD73">
        <f t="shared" si="47"/>
        <v>10</v>
      </c>
      <c r="AE73" t="str">
        <f t="shared" ca="1" si="49"/>
        <v/>
      </c>
      <c r="AI73">
        <v>12.65</v>
      </c>
      <c r="AJ73">
        <v>-26.733000000000001</v>
      </c>
      <c r="AK73" t="s">
        <v>9</v>
      </c>
      <c r="AL73" s="5">
        <f t="shared" ca="1" si="50"/>
        <v>0.29338619269552579</v>
      </c>
      <c r="AM73" t="str">
        <f t="shared" si="51"/>
        <v>No</v>
      </c>
      <c r="AN73" s="7" t="str">
        <f t="shared" si="52"/>
        <v/>
      </c>
      <c r="AO73">
        <v>18.899999999999999</v>
      </c>
      <c r="AP73">
        <f t="shared" si="53"/>
        <v>0</v>
      </c>
      <c r="AQ73" t="str">
        <f t="shared" ca="1" si="54"/>
        <v/>
      </c>
    </row>
    <row r="74" spans="1:43" x14ac:dyDescent="0.3">
      <c r="A74" t="s">
        <v>40</v>
      </c>
      <c r="B74" t="s">
        <v>160</v>
      </c>
      <c r="C74" t="s">
        <v>54</v>
      </c>
      <c r="D74" t="s">
        <v>60</v>
      </c>
      <c r="E74" t="s">
        <v>57</v>
      </c>
      <c r="K74" t="s">
        <v>45</v>
      </c>
      <c r="L74" t="s">
        <v>45</v>
      </c>
      <c r="M74" t="s">
        <v>45</v>
      </c>
      <c r="S74">
        <v>10</v>
      </c>
      <c r="X74" t="str">
        <f t="shared" si="45"/>
        <v>No</v>
      </c>
      <c r="Y74" t="s">
        <v>54</v>
      </c>
      <c r="Z74" t="s">
        <v>47</v>
      </c>
      <c r="AA74" t="s">
        <v>56</v>
      </c>
      <c r="AB74">
        <f t="shared" si="46"/>
        <v>30</v>
      </c>
      <c r="AC74" t="s">
        <v>48</v>
      </c>
      <c r="AD74">
        <f t="shared" si="47"/>
        <v>10</v>
      </c>
      <c r="AE74" t="str">
        <f t="shared" ca="1" si="49"/>
        <v/>
      </c>
      <c r="AI74">
        <v>18.516999999999999</v>
      </c>
      <c r="AJ74">
        <v>-32.332999999999998</v>
      </c>
      <c r="AK74" t="s">
        <v>12</v>
      </c>
      <c r="AL74" s="5">
        <f t="shared" ca="1" si="50"/>
        <v>0.53717704876458316</v>
      </c>
      <c r="AM74" t="str">
        <f t="shared" si="51"/>
        <v>No</v>
      </c>
      <c r="AN74" s="7" t="str">
        <f t="shared" si="52"/>
        <v/>
      </c>
      <c r="AO74">
        <v>-33.200000000000003</v>
      </c>
      <c r="AP74">
        <f t="shared" si="53"/>
        <v>0</v>
      </c>
      <c r="AQ74" t="str">
        <f t="shared" ca="1" si="54"/>
        <v/>
      </c>
    </row>
    <row r="75" spans="1:43" x14ac:dyDescent="0.3">
      <c r="A75" t="s">
        <v>40</v>
      </c>
      <c r="B75" t="s">
        <v>162</v>
      </c>
      <c r="D75" t="s">
        <v>69</v>
      </c>
      <c r="E75" t="s">
        <v>57</v>
      </c>
      <c r="G75" t="s">
        <v>45</v>
      </c>
      <c r="H75" t="s">
        <v>45</v>
      </c>
      <c r="I75" t="s">
        <v>45</v>
      </c>
      <c r="J75" t="s">
        <v>45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45</v>
      </c>
      <c r="Q75" t="s">
        <v>45</v>
      </c>
      <c r="R75" t="s">
        <v>45</v>
      </c>
      <c r="X75" t="str">
        <f t="shared" si="45"/>
        <v/>
      </c>
      <c r="AB75">
        <f t="shared" si="46"/>
        <v>45</v>
      </c>
      <c r="AD75">
        <f t="shared" si="47"/>
        <v>5</v>
      </c>
      <c r="AE75" t="str">
        <f t="shared" ca="1" si="49"/>
        <v/>
      </c>
      <c r="AI75">
        <v>18.716999999999999</v>
      </c>
      <c r="AJ75">
        <v>-32.283000000000001</v>
      </c>
      <c r="AK75" t="s">
        <v>12</v>
      </c>
      <c r="AL75" s="5">
        <f t="shared" ca="1" si="50"/>
        <v>0.54548762848399868</v>
      </c>
      <c r="AM75" t="str">
        <f t="shared" si="51"/>
        <v>No</v>
      </c>
      <c r="AN75" s="7" t="str">
        <f t="shared" si="52"/>
        <v/>
      </c>
      <c r="AO75">
        <v>-30.8</v>
      </c>
      <c r="AP75">
        <f t="shared" si="53"/>
        <v>0</v>
      </c>
      <c r="AQ75" t="str">
        <f t="shared" ca="1" si="54"/>
        <v/>
      </c>
    </row>
    <row r="76" spans="1:43" x14ac:dyDescent="0.3">
      <c r="A76" t="s">
        <v>40</v>
      </c>
      <c r="B76" t="s">
        <v>163</v>
      </c>
      <c r="D76" t="s">
        <v>69</v>
      </c>
      <c r="E76" t="s">
        <v>57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45</v>
      </c>
      <c r="M76" t="s">
        <v>45</v>
      </c>
      <c r="N76" t="s">
        <v>45</v>
      </c>
      <c r="O76" t="s">
        <v>45</v>
      </c>
      <c r="P76" t="s">
        <v>45</v>
      </c>
      <c r="Q76" t="s">
        <v>45</v>
      </c>
      <c r="R76" t="s">
        <v>45</v>
      </c>
      <c r="X76" t="str">
        <f t="shared" si="45"/>
        <v/>
      </c>
      <c r="AB76">
        <f t="shared" si="46"/>
        <v>45</v>
      </c>
      <c r="AD76">
        <f t="shared" si="47"/>
        <v>5</v>
      </c>
      <c r="AE76" t="str">
        <f t="shared" ca="1" si="49"/>
        <v/>
      </c>
      <c r="AI76">
        <v>19.882999999999999</v>
      </c>
      <c r="AJ76">
        <v>18.766999999999999</v>
      </c>
      <c r="AK76" t="s">
        <v>13</v>
      </c>
      <c r="AL76" s="5">
        <f t="shared" ca="1" si="50"/>
        <v>0.59393830824819183</v>
      </c>
      <c r="AM76" t="str">
        <f t="shared" si="51"/>
        <v>No</v>
      </c>
      <c r="AN76" s="7" t="str">
        <f t="shared" si="52"/>
        <v/>
      </c>
      <c r="AO76">
        <v>9.6</v>
      </c>
      <c r="AP76">
        <f t="shared" si="53"/>
        <v>0</v>
      </c>
      <c r="AQ76" t="str">
        <f t="shared" ca="1" si="54"/>
        <v/>
      </c>
    </row>
    <row r="77" spans="1:43" x14ac:dyDescent="0.3">
      <c r="A77" t="s">
        <v>40</v>
      </c>
      <c r="B77" t="s">
        <v>164</v>
      </c>
      <c r="D77" t="s">
        <v>69</v>
      </c>
      <c r="E77" t="s">
        <v>57</v>
      </c>
      <c r="G77" t="s">
        <v>45</v>
      </c>
      <c r="H77" t="s">
        <v>45</v>
      </c>
      <c r="I77" t="s">
        <v>45</v>
      </c>
      <c r="J77" t="s">
        <v>45</v>
      </c>
      <c r="K77" t="s">
        <v>45</v>
      </c>
      <c r="L77" t="s">
        <v>45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s">
        <v>45</v>
      </c>
      <c r="X77" t="str">
        <f t="shared" si="45"/>
        <v/>
      </c>
      <c r="AB77">
        <f t="shared" si="46"/>
        <v>45</v>
      </c>
      <c r="AD77">
        <f t="shared" si="47"/>
        <v>5</v>
      </c>
      <c r="AE77" t="str">
        <f t="shared" ca="1" si="49"/>
        <v/>
      </c>
      <c r="AI77">
        <v>20.882999999999999</v>
      </c>
      <c r="AJ77">
        <v>-12.532999999999999</v>
      </c>
      <c r="AK77" t="s">
        <v>13</v>
      </c>
      <c r="AL77" s="5">
        <f t="shared" ca="1" si="50"/>
        <v>0.63549120684526994</v>
      </c>
      <c r="AM77" t="str">
        <f t="shared" si="51"/>
        <v>No</v>
      </c>
      <c r="AN77" s="7" t="str">
        <f t="shared" si="52"/>
        <v/>
      </c>
      <c r="AO77">
        <v>4.9000000000000004</v>
      </c>
      <c r="AP77">
        <f t="shared" si="53"/>
        <v>0</v>
      </c>
      <c r="AQ77" t="str">
        <f t="shared" ca="1" si="54"/>
        <v/>
      </c>
    </row>
    <row r="78" spans="1:43" x14ac:dyDescent="0.3">
      <c r="A78" t="s">
        <v>40</v>
      </c>
      <c r="B78" t="s">
        <v>165</v>
      </c>
      <c r="C78" t="s">
        <v>166</v>
      </c>
      <c r="D78" t="s">
        <v>69</v>
      </c>
      <c r="E78" t="s">
        <v>57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45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s">
        <v>45</v>
      </c>
      <c r="S78">
        <v>2</v>
      </c>
      <c r="X78" t="str">
        <f t="shared" si="45"/>
        <v>No</v>
      </c>
      <c r="Y78" t="s">
        <v>167</v>
      </c>
      <c r="Z78" t="s">
        <v>47</v>
      </c>
      <c r="AA78" t="s">
        <v>56</v>
      </c>
      <c r="AB78">
        <f t="shared" si="46"/>
        <v>60</v>
      </c>
      <c r="AC78" t="s">
        <v>48</v>
      </c>
      <c r="AD78">
        <f t="shared" si="47"/>
        <v>7</v>
      </c>
      <c r="AE78" t="str">
        <f t="shared" ca="1" si="49"/>
        <v/>
      </c>
      <c r="AI78">
        <v>20.983000000000001</v>
      </c>
      <c r="AJ78">
        <v>-12.632999999999999</v>
      </c>
      <c r="AK78" t="s">
        <v>14</v>
      </c>
      <c r="AL78" s="5">
        <f t="shared" ca="1" si="50"/>
        <v>0.63964649670497786</v>
      </c>
      <c r="AM78" t="str">
        <f t="shared" si="51"/>
        <v>No</v>
      </c>
      <c r="AN78" s="7" t="str">
        <f t="shared" si="52"/>
        <v/>
      </c>
      <c r="AO78">
        <v>6</v>
      </c>
      <c r="AP78">
        <f t="shared" si="53"/>
        <v>0</v>
      </c>
      <c r="AQ78" t="str">
        <f t="shared" ca="1" si="54"/>
        <v/>
      </c>
    </row>
    <row r="79" spans="1:43" x14ac:dyDescent="0.3">
      <c r="A79" t="s">
        <v>40</v>
      </c>
      <c r="B79" t="s">
        <v>168</v>
      </c>
      <c r="D79" t="s">
        <v>69</v>
      </c>
      <c r="E79" t="s">
        <v>57</v>
      </c>
      <c r="G79" t="s">
        <v>45</v>
      </c>
      <c r="H79" t="s">
        <v>45</v>
      </c>
      <c r="I79" t="s">
        <v>45</v>
      </c>
      <c r="J79" t="s">
        <v>45</v>
      </c>
      <c r="K79" t="s">
        <v>45</v>
      </c>
      <c r="L79" t="s">
        <v>45</v>
      </c>
      <c r="M79" t="s">
        <v>45</v>
      </c>
      <c r="N79" t="s">
        <v>45</v>
      </c>
      <c r="O79" t="s">
        <v>45</v>
      </c>
      <c r="P79" t="s">
        <v>45</v>
      </c>
      <c r="Q79" t="s">
        <v>45</v>
      </c>
      <c r="R79" t="s">
        <v>45</v>
      </c>
      <c r="X79" t="str">
        <f t="shared" si="45"/>
        <v/>
      </c>
      <c r="AB79">
        <f t="shared" si="46"/>
        <v>45</v>
      </c>
      <c r="AD79">
        <f t="shared" si="47"/>
        <v>5</v>
      </c>
      <c r="AE79" t="str">
        <f t="shared" ca="1" si="49"/>
        <v/>
      </c>
      <c r="AI79">
        <v>1.6</v>
      </c>
      <c r="AJ79">
        <v>15.782999999999999</v>
      </c>
      <c r="AK79" t="s">
        <v>16</v>
      </c>
      <c r="AL79" s="5">
        <f t="shared" ca="1" si="50"/>
        <v>0.83422666319781247</v>
      </c>
      <c r="AM79" t="str">
        <f t="shared" si="51"/>
        <v>Yes</v>
      </c>
      <c r="AN79" s="7" t="str">
        <f t="shared" ca="1" si="52"/>
        <v>8:01 PM</v>
      </c>
      <c r="AO79">
        <v>72.2</v>
      </c>
      <c r="AP79">
        <f t="shared" si="53"/>
        <v>8.6999999999999993</v>
      </c>
      <c r="AQ79" t="str">
        <f t="shared" ca="1" si="54"/>
        <v/>
      </c>
    </row>
    <row r="80" spans="1:43" x14ac:dyDescent="0.3">
      <c r="A80" t="s">
        <v>40</v>
      </c>
      <c r="B80" t="s">
        <v>169</v>
      </c>
      <c r="D80" t="s">
        <v>69</v>
      </c>
      <c r="E80" t="s">
        <v>57</v>
      </c>
      <c r="G80" t="s">
        <v>45</v>
      </c>
      <c r="H80" t="s">
        <v>45</v>
      </c>
      <c r="I80" t="s">
        <v>45</v>
      </c>
      <c r="J80" t="s">
        <v>45</v>
      </c>
      <c r="K80" t="s">
        <v>45</v>
      </c>
      <c r="L80" t="s">
        <v>45</v>
      </c>
      <c r="M80" t="s">
        <v>45</v>
      </c>
      <c r="N80" t="s">
        <v>45</v>
      </c>
      <c r="O80" t="s">
        <v>45</v>
      </c>
      <c r="P80" t="s">
        <v>45</v>
      </c>
      <c r="Q80" t="s">
        <v>45</v>
      </c>
      <c r="R80" t="s">
        <v>45</v>
      </c>
      <c r="X80" t="str">
        <f t="shared" si="45"/>
        <v/>
      </c>
      <c r="AB80">
        <f t="shared" si="46"/>
        <v>45</v>
      </c>
      <c r="AD80">
        <f t="shared" si="47"/>
        <v>5</v>
      </c>
      <c r="AE80" t="str">
        <f t="shared" ca="1" si="49"/>
        <v/>
      </c>
      <c r="AI80">
        <v>20.100000000000001</v>
      </c>
      <c r="AJ80">
        <v>-21.917000000000002</v>
      </c>
      <c r="AK80" t="s">
        <v>13</v>
      </c>
      <c r="AL80" s="5">
        <f t="shared" ca="1" si="50"/>
        <v>0.60295528724375791</v>
      </c>
      <c r="AM80" t="str">
        <f t="shared" si="51"/>
        <v>No</v>
      </c>
      <c r="AN80" s="7" t="str">
        <f t="shared" si="52"/>
        <v/>
      </c>
      <c r="AO80">
        <v>-9.6999999999999993</v>
      </c>
      <c r="AP80">
        <f t="shared" si="53"/>
        <v>0</v>
      </c>
      <c r="AQ80" t="str">
        <f t="shared" ca="1" si="54"/>
        <v/>
      </c>
    </row>
    <row r="81" spans="1:43" x14ac:dyDescent="0.3">
      <c r="A81" t="s">
        <v>40</v>
      </c>
      <c r="B81" t="s">
        <v>67</v>
      </c>
      <c r="C81" t="s">
        <v>68</v>
      </c>
      <c r="D81" t="s">
        <v>69</v>
      </c>
      <c r="E81" t="s">
        <v>57</v>
      </c>
      <c r="G81" t="s">
        <v>45</v>
      </c>
      <c r="H81" t="s">
        <v>45</v>
      </c>
      <c r="I81" t="s">
        <v>45</v>
      </c>
      <c r="J81" t="s">
        <v>45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45</v>
      </c>
      <c r="Q81" t="s">
        <v>45</v>
      </c>
      <c r="R81" t="s">
        <v>45</v>
      </c>
      <c r="S81">
        <v>20</v>
      </c>
      <c r="X81" t="str">
        <f t="shared" si="45"/>
        <v>No</v>
      </c>
      <c r="Y81" t="s">
        <v>70</v>
      </c>
      <c r="Z81" t="s">
        <v>47</v>
      </c>
      <c r="AA81" t="s">
        <v>56</v>
      </c>
      <c r="AB81">
        <f t="shared" si="46"/>
        <v>20</v>
      </c>
      <c r="AC81" t="s">
        <v>71</v>
      </c>
      <c r="AD81">
        <f t="shared" si="47"/>
        <v>10</v>
      </c>
      <c r="AE81" t="str">
        <f t="shared" ca="1" si="49"/>
        <v>⭐ PICK</v>
      </c>
      <c r="AI81">
        <v>1.7</v>
      </c>
      <c r="AJ81">
        <v>51.567</v>
      </c>
      <c r="AK81" t="s">
        <v>16</v>
      </c>
      <c r="AL81" s="5">
        <f t="shared" ca="1" si="50"/>
        <v>0.83838195305752039</v>
      </c>
      <c r="AM81" t="str">
        <f t="shared" si="51"/>
        <v>Yes</v>
      </c>
      <c r="AN81" s="7" t="str">
        <f t="shared" ca="1" si="52"/>
        <v>8:07 PM</v>
      </c>
      <c r="AO81">
        <v>71.3</v>
      </c>
      <c r="AP81">
        <f t="shared" si="53"/>
        <v>8.6</v>
      </c>
      <c r="AQ81" t="str">
        <f t="shared" ca="1" si="54"/>
        <v>PICK at 8:07 PM</v>
      </c>
    </row>
    <row r="82" spans="1:43" hidden="1" x14ac:dyDescent="0.3">
      <c r="A82" t="s">
        <v>40</v>
      </c>
      <c r="B82" t="s">
        <v>173</v>
      </c>
      <c r="C82" t="s">
        <v>174</v>
      </c>
      <c r="D82" t="s">
        <v>158</v>
      </c>
      <c r="E82" t="s">
        <v>44</v>
      </c>
      <c r="J82" t="s">
        <v>45</v>
      </c>
      <c r="K82" t="s">
        <v>45</v>
      </c>
      <c r="L82" t="s">
        <v>45</v>
      </c>
      <c r="S82">
        <v>10</v>
      </c>
      <c r="X82" t="str">
        <f t="shared" si="45"/>
        <v>No</v>
      </c>
      <c r="Y82" t="s">
        <v>116</v>
      </c>
      <c r="Z82" t="s">
        <v>48</v>
      </c>
      <c r="AA82" t="s">
        <v>117</v>
      </c>
      <c r="AB82">
        <f t="shared" si="46"/>
        <v>90</v>
      </c>
      <c r="AC82" t="s">
        <v>49</v>
      </c>
      <c r="AD82">
        <f t="shared" si="47"/>
        <v>8</v>
      </c>
      <c r="AE82" t="str">
        <f t="shared" ca="1" si="48"/>
        <v/>
      </c>
      <c r="AI82">
        <v>16.283000000000001</v>
      </c>
      <c r="AJ82">
        <v>-22.966999999999999</v>
      </c>
      <c r="AK82" t="s">
        <v>11</v>
      </c>
      <c r="AL82" t="s">
        <v>64</v>
      </c>
      <c r="AM82" t="s">
        <v>57</v>
      </c>
      <c r="AN82" t="s">
        <v>62</v>
      </c>
      <c r="AO82">
        <v>-16.3</v>
      </c>
    </row>
    <row r="83" spans="1:43" hidden="1" x14ac:dyDescent="0.3">
      <c r="A83" t="s">
        <v>40</v>
      </c>
      <c r="B83" t="s">
        <v>175</v>
      </c>
      <c r="C83" t="s">
        <v>176</v>
      </c>
      <c r="D83" t="s">
        <v>158</v>
      </c>
      <c r="E83" t="s">
        <v>44</v>
      </c>
      <c r="J83" t="s">
        <v>45</v>
      </c>
      <c r="K83" t="s">
        <v>45</v>
      </c>
      <c r="L83" t="s">
        <v>45</v>
      </c>
      <c r="S83">
        <v>10</v>
      </c>
      <c r="X83" t="str">
        <f t="shared" ref="X83:X114" si="55">IF(S83="", "", IF(S83&gt;78,"Yes","No"))</f>
        <v>No</v>
      </c>
      <c r="Y83" t="s">
        <v>116</v>
      </c>
      <c r="Z83" t="s">
        <v>48</v>
      </c>
      <c r="AA83" t="s">
        <v>117</v>
      </c>
      <c r="AB83">
        <f t="shared" ref="AB83:AB114" si="56">IF(Y83="Emission Nebula",90,IF(Y83="Reflection Nebula",75,IF(Y83="Planetary Nebula",60,IF(Y83="Galaxy",90,IF(Y83="Globular Cluster",30,IF(Y83="Open Cluster",20,IF(Y83="Comet",20,IF(Y83="Planet",10,IF(Y83="Star",5,45)))))))))</f>
        <v>90</v>
      </c>
      <c r="AC83" t="s">
        <v>49</v>
      </c>
      <c r="AD83">
        <f t="shared" ref="AD83:AD114" si="57">MAX(1,MIN(10,ROUND((IF(S83="",5,IF(S83&lt;3,2,IF(S83&lt;10,4,IF(S83&lt;=70,8,IF(S83&lt;=100,6,4))))))+IF(Y83="Emission Nebula",2,IF(Y83="Open Cluster",2,IF(Y83="Globular Cluster",2,IF(Y83="Reflection Nebula",1,IF(Y83="Planetary Nebula",1,IF(Y83="Comet",1,0))))))+IF(Z83="High (easy)",2,IF(Z83="Medium",1,IF(Z83="Low (hard)",-1,0)))+IF(AA83="High (OK with Moon)",2,IF(AA83="Medium",0,IF(AA83="Low (needs dark)",-2,0)))+IF(AC83="High (best &gt;50°)",1,IF(AC83="Medium",0,IF(AC83="Low (OK)",-1,0))),0)))</f>
        <v>8</v>
      </c>
      <c r="AE83" t="str">
        <f t="shared" ref="AE83:AE114" ca="1" si="58">IF(AND(CHOOSE(MONTH(TODAY()),G83,H83,I83,J83,K83,L83,M83,N83,O83,P83,Q83,R83)="✔",AD83&gt;=7,OR(V83&lt;&gt;"No",V83=""),OR(X83="No",X83="")),"⭐ PICK","")</f>
        <v/>
      </c>
      <c r="AI83">
        <v>9.9169999999999998</v>
      </c>
      <c r="AJ83">
        <v>69.05</v>
      </c>
      <c r="AK83" t="s">
        <v>8</v>
      </c>
      <c r="AL83" t="s">
        <v>77</v>
      </c>
      <c r="AM83" t="s">
        <v>44</v>
      </c>
      <c r="AN83" t="s">
        <v>62</v>
      </c>
      <c r="AO83">
        <v>53.9</v>
      </c>
    </row>
    <row r="84" spans="1:43" x14ac:dyDescent="0.3">
      <c r="A84" t="s">
        <v>40</v>
      </c>
      <c r="B84" t="s">
        <v>170</v>
      </c>
      <c r="D84" t="s">
        <v>69</v>
      </c>
      <c r="E84" t="s">
        <v>57</v>
      </c>
      <c r="G84" t="s">
        <v>45</v>
      </c>
      <c r="H84" t="s">
        <v>45</v>
      </c>
      <c r="I84" t="s">
        <v>45</v>
      </c>
      <c r="J84" t="s">
        <v>45</v>
      </c>
      <c r="K84" t="s">
        <v>45</v>
      </c>
      <c r="L84" t="s">
        <v>45</v>
      </c>
      <c r="M84" t="s">
        <v>45</v>
      </c>
      <c r="N84" t="s">
        <v>45</v>
      </c>
      <c r="O84" t="s">
        <v>45</v>
      </c>
      <c r="P84" t="s">
        <v>45</v>
      </c>
      <c r="Q84" t="s">
        <v>45</v>
      </c>
      <c r="R84" t="s">
        <v>45</v>
      </c>
      <c r="X84" t="str">
        <f t="shared" si="55"/>
        <v/>
      </c>
      <c r="AB84">
        <f t="shared" si="56"/>
        <v>45</v>
      </c>
      <c r="AD84">
        <f t="shared" si="57"/>
        <v>5</v>
      </c>
      <c r="AE84" t="str">
        <f t="shared" ref="AE84:AE85" ca="1" si="59">IF(AND(CHOOSE(MONTH(TODAY()),G84,H84,I84,J84,K84,L84,M84,N84,O84,P84,Q84,R84)="✔",AD84&gt;=7,AM84="Yes",AO84&gt;=50,OR(X84="No",X84=""),OR(E84="No",V84="Yes")),"⭐ PICK","")</f>
        <v/>
      </c>
      <c r="AI84">
        <v>2.7</v>
      </c>
      <c r="AJ84">
        <v>0</v>
      </c>
      <c r="AK84" t="s">
        <v>16</v>
      </c>
      <c r="AL84" s="5">
        <f t="shared" ref="AL84:AL85" ca="1" si="60">IFERROR(MOD((AI84-(MOD(18.697374558+24.065709824419*(TODAY()-DATE(2000,1,1)+0.5)+$AZ$1/15,24)))/1.00273790935,24)/24,"")</f>
        <v>0.87993485165459839</v>
      </c>
      <c r="AM84" t="str">
        <f t="shared" ref="AM84:AM85" si="61">IF(AO84&gt;=20,"Yes","No")</f>
        <v>Yes</v>
      </c>
      <c r="AN84" s="7" t="str">
        <f t="shared" ref="AN84:AN85" ca="1" si="62">IF(AM84="Yes",TEXT(AL84,"h:mm AM/PM"),"")</f>
        <v>9:07 PM</v>
      </c>
      <c r="AO84">
        <v>57</v>
      </c>
      <c r="AP84">
        <f t="shared" ref="AP84:AP85" si="63">ROUND(MAX(0,MIN(10,(AO84-20)/6)),1)</f>
        <v>6.2</v>
      </c>
      <c r="AQ84" t="str">
        <f t="shared" ref="AQ84:AQ85" ca="1" si="64">IF(AE84="⭐ PICK","PICK at "&amp;AN84,"")</f>
        <v/>
      </c>
    </row>
    <row r="85" spans="1:43" x14ac:dyDescent="0.3">
      <c r="A85" t="s">
        <v>40</v>
      </c>
      <c r="B85" t="s">
        <v>171</v>
      </c>
      <c r="D85" t="s">
        <v>69</v>
      </c>
      <c r="E85" t="s">
        <v>57</v>
      </c>
      <c r="G85" t="s">
        <v>45</v>
      </c>
      <c r="H85" t="s">
        <v>45</v>
      </c>
      <c r="I85" t="s">
        <v>45</v>
      </c>
      <c r="J85" t="s">
        <v>45</v>
      </c>
      <c r="K85" t="s">
        <v>45</v>
      </c>
      <c r="L85" t="s">
        <v>45</v>
      </c>
      <c r="M85" t="s">
        <v>45</v>
      </c>
      <c r="N85" t="s">
        <v>45</v>
      </c>
      <c r="O85" t="s">
        <v>45</v>
      </c>
      <c r="P85" t="s">
        <v>45</v>
      </c>
      <c r="Q85" t="s">
        <v>45</v>
      </c>
      <c r="R85" t="s">
        <v>45</v>
      </c>
      <c r="X85" t="str">
        <f t="shared" si="55"/>
        <v/>
      </c>
      <c r="AB85">
        <f t="shared" si="56"/>
        <v>45</v>
      </c>
      <c r="AD85">
        <f t="shared" si="57"/>
        <v>5</v>
      </c>
      <c r="AE85" t="str">
        <f t="shared" ca="1" si="59"/>
        <v/>
      </c>
      <c r="AI85">
        <v>5.7670000000000003</v>
      </c>
      <c r="AJ85">
        <v>6.7000000000000004E-2</v>
      </c>
      <c r="AK85" t="s">
        <v>6</v>
      </c>
      <c r="AL85" s="5">
        <f t="shared" ca="1" si="60"/>
        <v>7.3775916518370411E-3</v>
      </c>
      <c r="AM85" t="str">
        <f t="shared" si="61"/>
        <v>Yes</v>
      </c>
      <c r="AN85" s="7" t="str">
        <f t="shared" ca="1" si="62"/>
        <v>12:10 AM</v>
      </c>
      <c r="AO85">
        <v>57.1</v>
      </c>
      <c r="AP85">
        <f t="shared" si="63"/>
        <v>6.2</v>
      </c>
      <c r="AQ85" t="str">
        <f t="shared" ca="1" si="64"/>
        <v/>
      </c>
    </row>
    <row r="86" spans="1:43" hidden="1" x14ac:dyDescent="0.3">
      <c r="A86" t="s">
        <v>40</v>
      </c>
      <c r="B86" t="s">
        <v>181</v>
      </c>
      <c r="C86" t="s">
        <v>70</v>
      </c>
      <c r="D86" t="s">
        <v>141</v>
      </c>
      <c r="E86" t="s">
        <v>44</v>
      </c>
      <c r="H86" t="s">
        <v>45</v>
      </c>
      <c r="I86" t="s">
        <v>45</v>
      </c>
      <c r="J86" t="s">
        <v>45</v>
      </c>
      <c r="S86">
        <v>20</v>
      </c>
      <c r="X86" t="str">
        <f t="shared" si="55"/>
        <v>No</v>
      </c>
      <c r="Y86" t="s">
        <v>70</v>
      </c>
      <c r="Z86" t="s">
        <v>47</v>
      </c>
      <c r="AA86" t="s">
        <v>56</v>
      </c>
      <c r="AB86">
        <f t="shared" si="56"/>
        <v>20</v>
      </c>
      <c r="AC86" t="s">
        <v>71</v>
      </c>
      <c r="AD86">
        <f t="shared" si="57"/>
        <v>10</v>
      </c>
      <c r="AE86" t="str">
        <f t="shared" ca="1" si="58"/>
        <v>⭐ PICK</v>
      </c>
      <c r="AI86">
        <v>12.417</v>
      </c>
      <c r="AJ86">
        <v>12.882999999999999</v>
      </c>
      <c r="AK86" t="s">
        <v>9</v>
      </c>
      <c r="AL86" t="s">
        <v>64</v>
      </c>
      <c r="AM86" t="s">
        <v>44</v>
      </c>
      <c r="AN86" t="s">
        <v>62</v>
      </c>
      <c r="AO86">
        <v>50.7</v>
      </c>
    </row>
    <row r="87" spans="1:43" x14ac:dyDescent="0.3">
      <c r="A87" t="s">
        <v>40</v>
      </c>
      <c r="B87" t="s">
        <v>172</v>
      </c>
      <c r="D87" t="s">
        <v>69</v>
      </c>
      <c r="E87" t="s">
        <v>57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45</v>
      </c>
      <c r="M87" t="s">
        <v>45</v>
      </c>
      <c r="N87" t="s">
        <v>45</v>
      </c>
      <c r="O87" t="s">
        <v>45</v>
      </c>
      <c r="P87" t="s">
        <v>45</v>
      </c>
      <c r="Q87" t="s">
        <v>45</v>
      </c>
      <c r="R87" t="s">
        <v>45</v>
      </c>
      <c r="X87" t="str">
        <f t="shared" si="55"/>
        <v/>
      </c>
      <c r="AB87">
        <f t="shared" si="56"/>
        <v>45</v>
      </c>
      <c r="AD87">
        <f t="shared" si="57"/>
        <v>5</v>
      </c>
      <c r="AE87" t="str">
        <f t="shared" ref="AE87:AE93" ca="1" si="65">IF(AND(CHOOSE(MONTH(TODAY()),G87,H87,I87,J87,K87,L87,M87,N87,O87,P87,Q87,R87)="✔",AD87&gt;=7,AM87="Yes",AO87&gt;=50,OR(X87="No",X87=""),OR(E87="No",V87="Yes")),"⭐ PICK","")</f>
        <v/>
      </c>
      <c r="AI87">
        <v>5.4</v>
      </c>
      <c r="AJ87">
        <v>-24.516999999999999</v>
      </c>
      <c r="AK87" t="s">
        <v>6</v>
      </c>
      <c r="AL87" s="5">
        <f t="shared" ref="AL87:AL93" ca="1" si="66">IFERROR(MOD((AI87-(MOD(18.697374558+24.065709824419*(TODAY()-DATE(2000,1,1)+0.5)+$AZ$1/15,24)))/1.00273790935,24)/24,"")</f>
        <v>0.99212767786670941</v>
      </c>
      <c r="AM87" t="str">
        <f t="shared" ref="AM87:AM93" si="67">IF(AO87&gt;=20,"Yes","No")</f>
        <v>Yes</v>
      </c>
      <c r="AN87" s="7" t="str">
        <f t="shared" ref="AN87:AN93" ca="1" si="68">IF(AM87="Yes",TEXT(AL87,"h:mm AM/PM"),"")</f>
        <v>11:48 PM</v>
      </c>
      <c r="AO87">
        <v>32.5</v>
      </c>
      <c r="AP87">
        <f t="shared" ref="AP87:AP93" si="69">ROUND(MAX(0,MIN(10,(AO87-20)/6)),1)</f>
        <v>2.1</v>
      </c>
      <c r="AQ87" t="str">
        <f t="shared" ref="AQ87:AQ93" ca="1" si="70">IF(AE87="⭐ PICK","PICK at "&amp;AN87,"")</f>
        <v/>
      </c>
    </row>
    <row r="88" spans="1:43" x14ac:dyDescent="0.3">
      <c r="A88" t="s">
        <v>40</v>
      </c>
      <c r="B88" t="s">
        <v>177</v>
      </c>
      <c r="C88" t="s">
        <v>178</v>
      </c>
      <c r="D88" t="s">
        <v>179</v>
      </c>
      <c r="E88" t="s">
        <v>57</v>
      </c>
      <c r="I88" t="s">
        <v>45</v>
      </c>
      <c r="J88" t="s">
        <v>45</v>
      </c>
      <c r="K88" t="s">
        <v>45</v>
      </c>
      <c r="L88" t="s">
        <v>45</v>
      </c>
      <c r="S88">
        <v>10</v>
      </c>
      <c r="X88" t="str">
        <f t="shared" si="55"/>
        <v>No</v>
      </c>
      <c r="Y88" t="s">
        <v>116</v>
      </c>
      <c r="Z88" t="s">
        <v>48</v>
      </c>
      <c r="AA88" t="s">
        <v>117</v>
      </c>
      <c r="AB88">
        <f t="shared" si="56"/>
        <v>90</v>
      </c>
      <c r="AC88" t="s">
        <v>49</v>
      </c>
      <c r="AD88">
        <f t="shared" si="57"/>
        <v>8</v>
      </c>
      <c r="AE88" t="str">
        <f t="shared" ca="1" si="65"/>
        <v>⭐ PICK</v>
      </c>
      <c r="AI88">
        <v>9.9169999999999998</v>
      </c>
      <c r="AJ88">
        <v>69.667000000000002</v>
      </c>
      <c r="AK88" t="s">
        <v>8</v>
      </c>
      <c r="AL88" s="5">
        <f t="shared" ca="1" si="66"/>
        <v>0.17982212082971125</v>
      </c>
      <c r="AM88" t="str">
        <f t="shared" si="67"/>
        <v>Yes</v>
      </c>
      <c r="AN88" s="7" t="str">
        <f t="shared" ca="1" si="68"/>
        <v>4:18 AM</v>
      </c>
      <c r="AO88">
        <v>53.3</v>
      </c>
      <c r="AP88">
        <f t="shared" si="69"/>
        <v>5.6</v>
      </c>
      <c r="AQ88" t="str">
        <f t="shared" ca="1" si="70"/>
        <v>PICK at 4:18 AM</v>
      </c>
    </row>
    <row r="89" spans="1:43" x14ac:dyDescent="0.3">
      <c r="A89" t="s">
        <v>40</v>
      </c>
      <c r="B89" t="s">
        <v>180</v>
      </c>
      <c r="C89" t="s">
        <v>178</v>
      </c>
      <c r="D89" t="s">
        <v>179</v>
      </c>
      <c r="E89" t="s">
        <v>57</v>
      </c>
      <c r="I89" t="s">
        <v>45</v>
      </c>
      <c r="J89" t="s">
        <v>45</v>
      </c>
      <c r="K89" t="s">
        <v>45</v>
      </c>
      <c r="L89" t="s">
        <v>45</v>
      </c>
      <c r="S89">
        <v>10</v>
      </c>
      <c r="X89" t="str">
        <f t="shared" si="55"/>
        <v>No</v>
      </c>
      <c r="Y89" t="s">
        <v>116</v>
      </c>
      <c r="Z89" t="s">
        <v>48</v>
      </c>
      <c r="AA89" t="s">
        <v>117</v>
      </c>
      <c r="AB89">
        <f t="shared" si="56"/>
        <v>90</v>
      </c>
      <c r="AC89" t="s">
        <v>49</v>
      </c>
      <c r="AD89">
        <f t="shared" si="57"/>
        <v>8</v>
      </c>
      <c r="AE89" t="str">
        <f t="shared" ca="1" si="65"/>
        <v/>
      </c>
      <c r="AI89">
        <v>13.617000000000001</v>
      </c>
      <c r="AJ89">
        <v>-29.85</v>
      </c>
      <c r="AK89" t="s">
        <v>10</v>
      </c>
      <c r="AL89" s="5">
        <f t="shared" ca="1" si="66"/>
        <v>0.33356784563890035</v>
      </c>
      <c r="AM89" t="str">
        <f t="shared" si="67"/>
        <v>No</v>
      </c>
      <c r="AN89" s="7" t="str">
        <f t="shared" si="68"/>
        <v/>
      </c>
      <c r="AO89">
        <v>8.4</v>
      </c>
      <c r="AP89">
        <f t="shared" si="69"/>
        <v>0</v>
      </c>
      <c r="AQ89" t="str">
        <f t="shared" ca="1" si="70"/>
        <v/>
      </c>
    </row>
    <row r="90" spans="1:43" x14ac:dyDescent="0.3">
      <c r="A90" t="s">
        <v>40</v>
      </c>
      <c r="B90" t="s">
        <v>183</v>
      </c>
      <c r="D90" t="s">
        <v>69</v>
      </c>
      <c r="E90" t="s">
        <v>57</v>
      </c>
      <c r="G90" t="s">
        <v>45</v>
      </c>
      <c r="H90" t="s">
        <v>45</v>
      </c>
      <c r="I90" t="s">
        <v>45</v>
      </c>
      <c r="J90" t="s">
        <v>45</v>
      </c>
      <c r="K90" t="s">
        <v>45</v>
      </c>
      <c r="L90" t="s">
        <v>45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s">
        <v>45</v>
      </c>
      <c r="X90" t="str">
        <f t="shared" si="55"/>
        <v/>
      </c>
      <c r="AB90">
        <f t="shared" si="56"/>
        <v>45</v>
      </c>
      <c r="AD90">
        <f t="shared" si="57"/>
        <v>5</v>
      </c>
      <c r="AE90" t="str">
        <f t="shared" ca="1" si="65"/>
        <v/>
      </c>
      <c r="AI90">
        <v>12.417</v>
      </c>
      <c r="AJ90">
        <v>18.183</v>
      </c>
      <c r="AK90" t="s">
        <v>9</v>
      </c>
      <c r="AL90" s="5">
        <f t="shared" ca="1" si="66"/>
        <v>0.28370436732240656</v>
      </c>
      <c r="AM90" t="str">
        <f t="shared" si="67"/>
        <v>Yes</v>
      </c>
      <c r="AN90" s="7" t="str">
        <f t="shared" ca="1" si="68"/>
        <v>6:48 AM</v>
      </c>
      <c r="AO90">
        <v>53.7</v>
      </c>
      <c r="AP90">
        <f t="shared" si="69"/>
        <v>5.6</v>
      </c>
      <c r="AQ90" t="str">
        <f t="shared" ca="1" si="70"/>
        <v/>
      </c>
    </row>
    <row r="91" spans="1:43" x14ac:dyDescent="0.3">
      <c r="A91" t="s">
        <v>40</v>
      </c>
      <c r="B91" t="s">
        <v>184</v>
      </c>
      <c r="D91" t="s">
        <v>69</v>
      </c>
      <c r="E91" t="s">
        <v>57</v>
      </c>
      <c r="G91" t="s">
        <v>45</v>
      </c>
      <c r="H91" t="s">
        <v>45</v>
      </c>
      <c r="I91" t="s">
        <v>45</v>
      </c>
      <c r="J91" t="s">
        <v>45</v>
      </c>
      <c r="K91" t="s">
        <v>45</v>
      </c>
      <c r="L91" t="s">
        <v>45</v>
      </c>
      <c r="M91" t="s">
        <v>45</v>
      </c>
      <c r="N91" t="s">
        <v>45</v>
      </c>
      <c r="O91" t="s">
        <v>45</v>
      </c>
      <c r="P91" t="s">
        <v>45</v>
      </c>
      <c r="Q91" t="s">
        <v>45</v>
      </c>
      <c r="R91" t="s">
        <v>45</v>
      </c>
      <c r="X91" t="str">
        <f t="shared" si="55"/>
        <v/>
      </c>
      <c r="AB91">
        <f t="shared" si="56"/>
        <v>45</v>
      </c>
      <c r="AD91">
        <f t="shared" si="57"/>
        <v>5</v>
      </c>
      <c r="AE91" t="str">
        <f t="shared" ca="1" si="65"/>
        <v/>
      </c>
      <c r="AI91">
        <v>12.433</v>
      </c>
      <c r="AJ91">
        <v>12.933</v>
      </c>
      <c r="AK91" t="s">
        <v>9</v>
      </c>
      <c r="AL91" s="5">
        <f t="shared" ca="1" si="66"/>
        <v>0.28436921369995982</v>
      </c>
      <c r="AM91" t="str">
        <f t="shared" si="67"/>
        <v>Yes</v>
      </c>
      <c r="AN91" s="7" t="str">
        <f t="shared" ca="1" si="68"/>
        <v>6:49 AM</v>
      </c>
      <c r="AO91">
        <v>50.6</v>
      </c>
      <c r="AP91">
        <f t="shared" si="69"/>
        <v>5.0999999999999996</v>
      </c>
      <c r="AQ91" t="str">
        <f t="shared" ca="1" si="70"/>
        <v/>
      </c>
    </row>
    <row r="92" spans="1:43" x14ac:dyDescent="0.3">
      <c r="A92" t="s">
        <v>40</v>
      </c>
      <c r="B92" t="s">
        <v>72</v>
      </c>
      <c r="C92" t="s">
        <v>73</v>
      </c>
      <c r="D92" t="s">
        <v>69</v>
      </c>
      <c r="E92" t="s">
        <v>57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45</v>
      </c>
      <c r="M92" t="s">
        <v>45</v>
      </c>
      <c r="N92" t="s">
        <v>45</v>
      </c>
      <c r="O92" t="s">
        <v>45</v>
      </c>
      <c r="P92" t="s">
        <v>45</v>
      </c>
      <c r="Q92" t="s">
        <v>45</v>
      </c>
      <c r="R92" t="s">
        <v>45</v>
      </c>
      <c r="S92">
        <v>20</v>
      </c>
      <c r="X92" t="str">
        <f t="shared" si="55"/>
        <v>No</v>
      </c>
      <c r="Y92" t="s">
        <v>70</v>
      </c>
      <c r="Z92" t="s">
        <v>47</v>
      </c>
      <c r="AA92" t="s">
        <v>56</v>
      </c>
      <c r="AB92">
        <f t="shared" si="56"/>
        <v>20</v>
      </c>
      <c r="AC92" t="s">
        <v>71</v>
      </c>
      <c r="AD92">
        <f t="shared" si="57"/>
        <v>10</v>
      </c>
      <c r="AE92" t="str">
        <f t="shared" ca="1" si="65"/>
        <v/>
      </c>
      <c r="AI92">
        <v>12.5</v>
      </c>
      <c r="AJ92">
        <v>12.382999999999999</v>
      </c>
      <c r="AK92" t="s">
        <v>9</v>
      </c>
      <c r="AL92" s="5">
        <f t="shared" ca="1" si="66"/>
        <v>0.28715325790596408</v>
      </c>
      <c r="AM92" t="str">
        <f t="shared" si="67"/>
        <v>Yes</v>
      </c>
      <c r="AN92" s="7" t="str">
        <f t="shared" ca="1" si="68"/>
        <v>6:53 AM</v>
      </c>
      <c r="AO92">
        <v>49.5</v>
      </c>
      <c r="AP92">
        <f t="shared" si="69"/>
        <v>4.9000000000000004</v>
      </c>
      <c r="AQ92" t="str">
        <f t="shared" ca="1" si="70"/>
        <v/>
      </c>
    </row>
    <row r="93" spans="1:43" x14ac:dyDescent="0.3">
      <c r="A93" t="s">
        <v>40</v>
      </c>
      <c r="B93" t="s">
        <v>185</v>
      </c>
      <c r="D93" t="s">
        <v>69</v>
      </c>
      <c r="E93" t="s">
        <v>57</v>
      </c>
      <c r="G93" t="s">
        <v>45</v>
      </c>
      <c r="H93" t="s">
        <v>45</v>
      </c>
      <c r="I93" t="s">
        <v>45</v>
      </c>
      <c r="J93" t="s">
        <v>45</v>
      </c>
      <c r="K93" t="s">
        <v>45</v>
      </c>
      <c r="L93" t="s">
        <v>45</v>
      </c>
      <c r="M93" t="s">
        <v>45</v>
      </c>
      <c r="N93" t="s">
        <v>45</v>
      </c>
      <c r="O93" t="s">
        <v>45</v>
      </c>
      <c r="P93" t="s">
        <v>45</v>
      </c>
      <c r="Q93" t="s">
        <v>45</v>
      </c>
      <c r="R93" t="s">
        <v>45</v>
      </c>
      <c r="X93" t="str">
        <f t="shared" si="55"/>
        <v/>
      </c>
      <c r="AB93">
        <f t="shared" si="56"/>
        <v>45</v>
      </c>
      <c r="AD93">
        <f t="shared" si="57"/>
        <v>5</v>
      </c>
      <c r="AE93" t="str">
        <f t="shared" ca="1" si="65"/>
        <v/>
      </c>
      <c r="AI93">
        <v>12.516999999999999</v>
      </c>
      <c r="AJ93">
        <v>14.417</v>
      </c>
      <c r="AK93" t="s">
        <v>9</v>
      </c>
      <c r="AL93" s="5">
        <f t="shared" ca="1" si="66"/>
        <v>0.28785965718211437</v>
      </c>
      <c r="AM93" t="str">
        <f t="shared" si="67"/>
        <v>Yes</v>
      </c>
      <c r="AN93" s="7" t="str">
        <f t="shared" ca="1" si="68"/>
        <v>6:54 AM</v>
      </c>
      <c r="AO93">
        <v>50.4</v>
      </c>
      <c r="AP93">
        <f t="shared" si="69"/>
        <v>5.0999999999999996</v>
      </c>
      <c r="AQ93" t="str">
        <f t="shared" ca="1" si="70"/>
        <v/>
      </c>
    </row>
    <row r="94" spans="1:43" hidden="1" x14ac:dyDescent="0.3">
      <c r="A94" t="s">
        <v>40</v>
      </c>
      <c r="B94" t="s">
        <v>189</v>
      </c>
      <c r="C94" t="s">
        <v>190</v>
      </c>
      <c r="D94" t="s">
        <v>123</v>
      </c>
      <c r="E94" t="s">
        <v>44</v>
      </c>
      <c r="P94" t="s">
        <v>45</v>
      </c>
      <c r="Q94" t="s">
        <v>45</v>
      </c>
      <c r="R94" t="s">
        <v>45</v>
      </c>
      <c r="S94">
        <v>10</v>
      </c>
      <c r="X94" t="str">
        <f t="shared" si="55"/>
        <v>No</v>
      </c>
      <c r="Y94" t="s">
        <v>116</v>
      </c>
      <c r="Z94" t="s">
        <v>48</v>
      </c>
      <c r="AA94" t="s">
        <v>117</v>
      </c>
      <c r="AB94">
        <f t="shared" si="56"/>
        <v>90</v>
      </c>
      <c r="AC94" t="s">
        <v>49</v>
      </c>
      <c r="AD94">
        <f t="shared" si="57"/>
        <v>8</v>
      </c>
      <c r="AE94" t="str">
        <f t="shared" ca="1" si="58"/>
        <v/>
      </c>
      <c r="AI94">
        <v>17.283000000000001</v>
      </c>
      <c r="AJ94">
        <v>43.133000000000003</v>
      </c>
      <c r="AK94" t="s">
        <v>12</v>
      </c>
      <c r="AL94" t="s">
        <v>66</v>
      </c>
      <c r="AM94" t="s">
        <v>57</v>
      </c>
      <c r="AN94" t="s">
        <v>62</v>
      </c>
      <c r="AO94">
        <v>9.4</v>
      </c>
    </row>
    <row r="95" spans="1:43" x14ac:dyDescent="0.3">
      <c r="A95" t="s">
        <v>40</v>
      </c>
      <c r="B95" t="s">
        <v>186</v>
      </c>
      <c r="D95" t="s">
        <v>69</v>
      </c>
      <c r="E95" t="s">
        <v>57</v>
      </c>
      <c r="G95" t="s">
        <v>45</v>
      </c>
      <c r="H95" t="s">
        <v>45</v>
      </c>
      <c r="I95" t="s">
        <v>45</v>
      </c>
      <c r="J95" t="s">
        <v>45</v>
      </c>
      <c r="K95" t="s">
        <v>45</v>
      </c>
      <c r="L95" t="s">
        <v>45</v>
      </c>
      <c r="M95" t="s">
        <v>45</v>
      </c>
      <c r="N95" t="s">
        <v>45</v>
      </c>
      <c r="O95" t="s">
        <v>45</v>
      </c>
      <c r="P95" t="s">
        <v>45</v>
      </c>
      <c r="Q95" t="s">
        <v>45</v>
      </c>
      <c r="R95" t="s">
        <v>45</v>
      </c>
      <c r="X95" t="str">
        <f t="shared" si="55"/>
        <v/>
      </c>
      <c r="AB95">
        <f t="shared" si="56"/>
        <v>45</v>
      </c>
      <c r="AD95">
        <f t="shared" si="57"/>
        <v>5</v>
      </c>
      <c r="AE95" t="str">
        <f ca="1">IF(AND(CHOOSE(MONTH(TODAY()),G95,H95,I95,J95,K95,L95,M95,N95,O95,P95,Q95,R95)="✔",AD95&gt;=7,AM95="Yes",AO95&gt;=50,OR(X95="No",X95=""),OR(E95="No",V95="Yes")),"⭐ PICK","")</f>
        <v/>
      </c>
      <c r="AI95">
        <v>12.583</v>
      </c>
      <c r="AJ95">
        <v>12.55</v>
      </c>
      <c r="AK95" t="s">
        <v>9</v>
      </c>
      <c r="AL95" s="5">
        <f ca="1">IFERROR(MOD((AI95-(MOD(18.697374558+24.065709824419*(TODAY()-DATE(2000,1,1)+0.5)+$AZ$1/15,24)))/1.00273790935,24)/24,"")</f>
        <v>0.29060214848952154</v>
      </c>
      <c r="AM95" t="str">
        <f>IF(AO95&gt;=20,"Yes","No")</f>
        <v>Yes</v>
      </c>
      <c r="AN95" s="7" t="str">
        <f ca="1">IF(AM95="Yes",TEXT(AL95,"h:mm AM/PM"),"")</f>
        <v>6:58 AM</v>
      </c>
      <c r="AO95">
        <v>48.6</v>
      </c>
      <c r="AP95">
        <f>ROUND(MAX(0,MIN(10,(AO95-20)/6)),1)</f>
        <v>4.8</v>
      </c>
      <c r="AQ95" t="str">
        <f ca="1">IF(AE95="⭐ PICK","PICK at "&amp;AN95,"")</f>
        <v/>
      </c>
    </row>
    <row r="96" spans="1:43" hidden="1" x14ac:dyDescent="0.3">
      <c r="A96" t="s">
        <v>40</v>
      </c>
      <c r="B96" t="s">
        <v>192</v>
      </c>
      <c r="C96" t="s">
        <v>193</v>
      </c>
      <c r="D96" t="s">
        <v>123</v>
      </c>
      <c r="E96" t="s">
        <v>44</v>
      </c>
      <c r="P96" t="s">
        <v>45</v>
      </c>
      <c r="Q96" t="s">
        <v>45</v>
      </c>
      <c r="R96" t="s">
        <v>45</v>
      </c>
      <c r="X96" t="str">
        <f t="shared" si="55"/>
        <v/>
      </c>
      <c r="AB96">
        <f t="shared" si="56"/>
        <v>45</v>
      </c>
      <c r="AD96">
        <f t="shared" si="57"/>
        <v>5</v>
      </c>
      <c r="AE96" t="str">
        <f t="shared" ca="1" si="58"/>
        <v/>
      </c>
      <c r="AI96">
        <v>12.833</v>
      </c>
      <c r="AJ96">
        <v>41.116999999999997</v>
      </c>
      <c r="AK96" t="s">
        <v>9</v>
      </c>
      <c r="AL96" t="s">
        <v>83</v>
      </c>
      <c r="AM96" t="s">
        <v>44</v>
      </c>
      <c r="AN96" t="s">
        <v>62</v>
      </c>
      <c r="AO96">
        <v>54.9</v>
      </c>
    </row>
    <row r="97" spans="1:43" hidden="1" x14ac:dyDescent="0.3">
      <c r="A97" t="s">
        <v>40</v>
      </c>
      <c r="B97" t="s">
        <v>194</v>
      </c>
      <c r="C97" t="s">
        <v>195</v>
      </c>
      <c r="D97" t="s">
        <v>123</v>
      </c>
      <c r="E97" t="s">
        <v>44</v>
      </c>
      <c r="P97" t="s">
        <v>45</v>
      </c>
      <c r="Q97" t="s">
        <v>45</v>
      </c>
      <c r="R97" t="s">
        <v>45</v>
      </c>
      <c r="S97">
        <v>10</v>
      </c>
      <c r="X97" t="str">
        <f t="shared" si="55"/>
        <v>No</v>
      </c>
      <c r="Y97" t="s">
        <v>116</v>
      </c>
      <c r="Z97" t="s">
        <v>48</v>
      </c>
      <c r="AA97" t="s">
        <v>117</v>
      </c>
      <c r="AB97">
        <f t="shared" si="56"/>
        <v>90</v>
      </c>
      <c r="AC97" t="s">
        <v>49</v>
      </c>
      <c r="AD97">
        <f t="shared" si="57"/>
        <v>8</v>
      </c>
      <c r="AE97" t="str">
        <f t="shared" ca="1" si="58"/>
        <v/>
      </c>
      <c r="AI97">
        <v>10.717000000000001</v>
      </c>
      <c r="AJ97">
        <v>11.7</v>
      </c>
      <c r="AK97" t="s">
        <v>8</v>
      </c>
      <c r="AL97" t="s">
        <v>87</v>
      </c>
      <c r="AM97" t="s">
        <v>44</v>
      </c>
      <c r="AN97" t="s">
        <v>62</v>
      </c>
      <c r="AO97">
        <v>66.2</v>
      </c>
    </row>
    <row r="98" spans="1:43" hidden="1" x14ac:dyDescent="0.3">
      <c r="A98" t="s">
        <v>40</v>
      </c>
      <c r="B98" t="s">
        <v>196</v>
      </c>
      <c r="C98" t="s">
        <v>197</v>
      </c>
      <c r="D98" t="s">
        <v>125</v>
      </c>
      <c r="E98" t="s">
        <v>44</v>
      </c>
      <c r="G98" t="s">
        <v>45</v>
      </c>
      <c r="H98" t="s">
        <v>45</v>
      </c>
      <c r="R98" t="s">
        <v>45</v>
      </c>
      <c r="S98">
        <v>30</v>
      </c>
      <c r="T98">
        <v>20</v>
      </c>
      <c r="V98" t="s">
        <v>384</v>
      </c>
      <c r="X98" t="str">
        <f t="shared" si="55"/>
        <v>No</v>
      </c>
      <c r="Y98" t="s">
        <v>197</v>
      </c>
      <c r="Z98" t="s">
        <v>48</v>
      </c>
      <c r="AA98" t="s">
        <v>117</v>
      </c>
      <c r="AB98">
        <f t="shared" si="56"/>
        <v>75</v>
      </c>
      <c r="AC98" t="s">
        <v>49</v>
      </c>
      <c r="AD98">
        <f t="shared" si="57"/>
        <v>9</v>
      </c>
      <c r="AE98" t="str">
        <f t="shared" ca="1" si="58"/>
        <v/>
      </c>
      <c r="AI98">
        <v>10.766999999999999</v>
      </c>
      <c r="AJ98">
        <v>11.817</v>
      </c>
      <c r="AK98" t="s">
        <v>8</v>
      </c>
      <c r="AL98" t="s">
        <v>83</v>
      </c>
      <c r="AM98" t="s">
        <v>44</v>
      </c>
      <c r="AN98" t="s">
        <v>62</v>
      </c>
      <c r="AO98">
        <v>66</v>
      </c>
    </row>
    <row r="99" spans="1:43" x14ac:dyDescent="0.3">
      <c r="A99" t="s">
        <v>40</v>
      </c>
      <c r="B99" t="s">
        <v>187</v>
      </c>
      <c r="D99" t="s">
        <v>69</v>
      </c>
      <c r="E99" t="s">
        <v>57</v>
      </c>
      <c r="G99" t="s">
        <v>45</v>
      </c>
      <c r="H99" t="s">
        <v>45</v>
      </c>
      <c r="I99" t="s">
        <v>45</v>
      </c>
      <c r="J99" t="s">
        <v>45</v>
      </c>
      <c r="K99" t="s">
        <v>45</v>
      </c>
      <c r="L99" t="s">
        <v>45</v>
      </c>
      <c r="M99" t="s">
        <v>45</v>
      </c>
      <c r="N99" t="s">
        <v>45</v>
      </c>
      <c r="O99" t="s">
        <v>45</v>
      </c>
      <c r="P99" t="s">
        <v>45</v>
      </c>
      <c r="Q99" t="s">
        <v>45</v>
      </c>
      <c r="R99" t="s">
        <v>45</v>
      </c>
      <c r="X99" t="str">
        <f t="shared" si="55"/>
        <v/>
      </c>
      <c r="AB99">
        <f t="shared" si="56"/>
        <v>45</v>
      </c>
      <c r="AD99">
        <f t="shared" si="57"/>
        <v>5</v>
      </c>
      <c r="AE99" t="str">
        <f ca="1">IF(AND(CHOOSE(MONTH(TODAY()),G99,H99,I99,J99,K99,L99,M99,N99,O99,P99,Q99,R99)="✔",AD99&gt;=7,AM99="Yes",AO99&gt;=50,OR(X99="No",X99=""),OR(E99="No",V99="Yes")),"⭐ PICK","")</f>
        <v/>
      </c>
      <c r="AI99">
        <v>12.6</v>
      </c>
      <c r="AJ99">
        <v>13.15</v>
      </c>
      <c r="AK99" t="s">
        <v>9</v>
      </c>
      <c r="AL99" s="5">
        <f ca="1">IFERROR(MOD((AI99-(MOD(18.697374558+24.065709824419*(TODAY()-DATE(2000,1,1)+0.5)+$AZ$1/15,24)))/1.00273790935,24)/24,"")</f>
        <v>0.29130854776567183</v>
      </c>
      <c r="AM99" t="str">
        <f>IF(AO99&gt;=20,"Yes","No")</f>
        <v>Yes</v>
      </c>
      <c r="AN99" s="7" t="str">
        <f ca="1">IF(AM99="Yes",TEXT(AL99,"h:mm AM/PM"),"")</f>
        <v>6:59 AM</v>
      </c>
      <c r="AO99">
        <v>48.7</v>
      </c>
      <c r="AP99">
        <f>ROUND(MAX(0,MIN(10,(AO99-20)/6)),1)</f>
        <v>4.8</v>
      </c>
      <c r="AQ99" t="str">
        <f ca="1">IF(AE99="⭐ PICK","PICK at "&amp;AN99,"")</f>
        <v/>
      </c>
    </row>
    <row r="100" spans="1:43" hidden="1" x14ac:dyDescent="0.3">
      <c r="A100" t="s">
        <v>40</v>
      </c>
      <c r="B100" t="s">
        <v>74</v>
      </c>
      <c r="C100" t="s">
        <v>75</v>
      </c>
      <c r="D100" t="s">
        <v>76</v>
      </c>
      <c r="E100" t="s">
        <v>44</v>
      </c>
      <c r="L100" t="s">
        <v>45</v>
      </c>
      <c r="M100" t="s">
        <v>45</v>
      </c>
      <c r="N100" t="s">
        <v>45</v>
      </c>
      <c r="S100">
        <v>60</v>
      </c>
      <c r="X100" t="str">
        <f t="shared" si="55"/>
        <v>No</v>
      </c>
      <c r="Y100" t="s">
        <v>46</v>
      </c>
      <c r="Z100" t="s">
        <v>47</v>
      </c>
      <c r="AA100" t="s">
        <v>48</v>
      </c>
      <c r="AB100">
        <f t="shared" si="56"/>
        <v>90</v>
      </c>
      <c r="AC100" t="s">
        <v>49</v>
      </c>
      <c r="AD100">
        <f t="shared" si="57"/>
        <v>10</v>
      </c>
      <c r="AE100" t="str">
        <f t="shared" ca="1" si="58"/>
        <v/>
      </c>
      <c r="AI100">
        <v>12.217000000000001</v>
      </c>
      <c r="AJ100">
        <v>14.9</v>
      </c>
      <c r="AK100" t="s">
        <v>9</v>
      </c>
      <c r="AL100" t="s">
        <v>223</v>
      </c>
      <c r="AM100" t="s">
        <v>44</v>
      </c>
      <c r="AN100" t="s">
        <v>62</v>
      </c>
      <c r="AO100">
        <v>54.3</v>
      </c>
    </row>
    <row r="101" spans="1:43" x14ac:dyDescent="0.3">
      <c r="A101" t="s">
        <v>40</v>
      </c>
      <c r="B101" t="s">
        <v>188</v>
      </c>
      <c r="D101" t="s">
        <v>69</v>
      </c>
      <c r="E101" t="s">
        <v>57</v>
      </c>
      <c r="G101" t="s">
        <v>45</v>
      </c>
      <c r="H101" t="s">
        <v>45</v>
      </c>
      <c r="I101" t="s">
        <v>45</v>
      </c>
      <c r="J101" t="s">
        <v>45</v>
      </c>
      <c r="K101" t="s">
        <v>45</v>
      </c>
      <c r="L101" t="s">
        <v>45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s">
        <v>45</v>
      </c>
      <c r="X101" t="str">
        <f t="shared" si="55"/>
        <v/>
      </c>
      <c r="AB101">
        <f t="shared" si="56"/>
        <v>45</v>
      </c>
      <c r="AD101">
        <f t="shared" si="57"/>
        <v>5</v>
      </c>
      <c r="AE101" t="str">
        <f ca="1">IF(AND(CHOOSE(MONTH(TODAY()),G101,H101,I101,J101,K101,L101,M101,N101,O101,P101,Q101,R101)="✔",AD101&gt;=7,AM101="Yes",AO101&gt;=50,OR(X101="No",X101=""),OR(E101="No",V101="Yes")),"⭐ PICK","")</f>
        <v/>
      </c>
      <c r="AI101">
        <v>12.583</v>
      </c>
      <c r="AJ101">
        <v>14.483000000000001</v>
      </c>
      <c r="AK101" t="s">
        <v>9</v>
      </c>
      <c r="AL101" s="5">
        <f ca="1">IFERROR(MOD((AI101-(MOD(18.697374558+24.065709824419*(TODAY()-DATE(2000,1,1)+0.5)+$AZ$1/15,24)))/1.00273790935,24)/24,"")</f>
        <v>0.29060214848952154</v>
      </c>
      <c r="AM101" t="str">
        <f>IF(AO101&gt;=20,"Yes","No")</f>
        <v>Yes</v>
      </c>
      <c r="AN101" s="7" t="str">
        <f ca="1">IF(AM101="Yes",TEXT(AL101,"h:mm AM/PM"),"")</f>
        <v>6:58 AM</v>
      </c>
      <c r="AO101">
        <v>49.7</v>
      </c>
      <c r="AP101">
        <f>ROUND(MAX(0,MIN(10,(AO101-20)/6)),1)</f>
        <v>5</v>
      </c>
      <c r="AQ101" t="str">
        <f ca="1">IF(AE101="⭐ PICK","PICK at "&amp;AN101,"")</f>
        <v/>
      </c>
    </row>
    <row r="102" spans="1:43" hidden="1" x14ac:dyDescent="0.3">
      <c r="A102" t="s">
        <v>40</v>
      </c>
      <c r="B102" t="s">
        <v>200</v>
      </c>
      <c r="C102" t="s">
        <v>201</v>
      </c>
      <c r="D102" t="s">
        <v>202</v>
      </c>
      <c r="E102" t="s">
        <v>44</v>
      </c>
      <c r="I102" t="s">
        <v>45</v>
      </c>
      <c r="J102" t="s">
        <v>45</v>
      </c>
      <c r="K102" t="s">
        <v>45</v>
      </c>
      <c r="S102">
        <v>27</v>
      </c>
      <c r="W102">
        <v>5</v>
      </c>
      <c r="X102" t="str">
        <f t="shared" si="55"/>
        <v>No</v>
      </c>
      <c r="Y102" t="s">
        <v>116</v>
      </c>
      <c r="Z102" t="s">
        <v>48</v>
      </c>
      <c r="AA102" t="s">
        <v>117</v>
      </c>
      <c r="AB102">
        <f t="shared" si="56"/>
        <v>90</v>
      </c>
      <c r="AC102" t="s">
        <v>49</v>
      </c>
      <c r="AD102">
        <f t="shared" si="57"/>
        <v>8</v>
      </c>
      <c r="AE102" t="str">
        <f t="shared" ca="1" si="58"/>
        <v>⭐ PICK</v>
      </c>
      <c r="AI102">
        <v>12.367000000000001</v>
      </c>
      <c r="AJ102">
        <v>15.817</v>
      </c>
      <c r="AK102" t="s">
        <v>9</v>
      </c>
      <c r="AL102" t="s">
        <v>64</v>
      </c>
      <c r="AM102" t="s">
        <v>44</v>
      </c>
      <c r="AN102" t="s">
        <v>62</v>
      </c>
      <c r="AO102">
        <v>53</v>
      </c>
    </row>
    <row r="103" spans="1:43" hidden="1" x14ac:dyDescent="0.3">
      <c r="A103" t="s">
        <v>40</v>
      </c>
      <c r="B103" t="s">
        <v>203</v>
      </c>
      <c r="C103" t="s">
        <v>204</v>
      </c>
      <c r="D103" t="s">
        <v>202</v>
      </c>
      <c r="E103" t="s">
        <v>44</v>
      </c>
      <c r="I103" t="s">
        <v>45</v>
      </c>
      <c r="J103" t="s">
        <v>45</v>
      </c>
      <c r="K103" t="s">
        <v>45</v>
      </c>
      <c r="S103">
        <v>11</v>
      </c>
      <c r="W103">
        <v>5</v>
      </c>
      <c r="X103" t="str">
        <f t="shared" si="55"/>
        <v>No</v>
      </c>
      <c r="Y103" t="s">
        <v>116</v>
      </c>
      <c r="Z103" t="s">
        <v>48</v>
      </c>
      <c r="AA103" t="s">
        <v>117</v>
      </c>
      <c r="AB103">
        <f t="shared" si="56"/>
        <v>90</v>
      </c>
      <c r="AC103" t="s">
        <v>49</v>
      </c>
      <c r="AD103">
        <f t="shared" si="57"/>
        <v>8</v>
      </c>
      <c r="AE103" t="str">
        <f t="shared" ca="1" si="58"/>
        <v>⭐ PICK</v>
      </c>
      <c r="AI103">
        <v>14.05</v>
      </c>
      <c r="AJ103">
        <v>54.332999999999998</v>
      </c>
      <c r="AK103" t="s">
        <v>10</v>
      </c>
      <c r="AL103" t="s">
        <v>77</v>
      </c>
      <c r="AM103" t="s">
        <v>44</v>
      </c>
      <c r="AN103" t="s">
        <v>62</v>
      </c>
      <c r="AO103">
        <v>42.5</v>
      </c>
    </row>
    <row r="104" spans="1:43" x14ac:dyDescent="0.3">
      <c r="A104" t="s">
        <v>40</v>
      </c>
      <c r="B104" t="s">
        <v>191</v>
      </c>
      <c r="D104" t="s">
        <v>69</v>
      </c>
      <c r="E104" t="s">
        <v>57</v>
      </c>
      <c r="G104" t="s">
        <v>45</v>
      </c>
      <c r="H104" t="s">
        <v>45</v>
      </c>
      <c r="I104" t="s">
        <v>45</v>
      </c>
      <c r="J104" t="s">
        <v>45</v>
      </c>
      <c r="K104" t="s">
        <v>45</v>
      </c>
      <c r="L104" t="s">
        <v>45</v>
      </c>
      <c r="M104" t="s">
        <v>45</v>
      </c>
      <c r="N104" t="s">
        <v>45</v>
      </c>
      <c r="O104" t="s">
        <v>45</v>
      </c>
      <c r="P104" t="s">
        <v>45</v>
      </c>
      <c r="Q104" t="s">
        <v>45</v>
      </c>
      <c r="R104" t="s">
        <v>45</v>
      </c>
      <c r="X104" t="str">
        <f t="shared" si="55"/>
        <v/>
      </c>
      <c r="AB104">
        <f t="shared" si="56"/>
        <v>45</v>
      </c>
      <c r="AD104">
        <f t="shared" si="57"/>
        <v>5</v>
      </c>
      <c r="AE104" t="str">
        <f t="shared" ref="AE104:AE114" ca="1" si="71">IF(AND(CHOOSE(MONTH(TODAY()),G104,H104,I104,J104,K104,L104,M104,N104,O104,P104,Q104,R104)="✔",AD104&gt;=7,AM104="Yes",AO104&gt;=50,OR(X104="No",X104=""),OR(E104="No",V104="Yes")),"⭐ PICK","")</f>
        <v/>
      </c>
      <c r="AI104">
        <v>7.7329999999999997</v>
      </c>
      <c r="AJ104">
        <v>-23.856999999999999</v>
      </c>
      <c r="AK104" t="s">
        <v>7</v>
      </c>
      <c r="AL104" s="5">
        <f t="shared" ref="AL104:AL114" ca="1" si="72">IFERROR(MOD((AI104-(MOD(18.697374558+24.065709824419*(TODAY()-DATE(2000,1,1)+0.5)+$AZ$1/15,24)))/1.00273790935,24)/24,"")</f>
        <v>8.9070590293692617E-2</v>
      </c>
      <c r="AM104" t="str">
        <f t="shared" ref="AM104:AM114" si="73">IF(AO104&gt;=20,"Yes","No")</f>
        <v>Yes</v>
      </c>
      <c r="AN104" s="7" t="str">
        <f t="shared" ref="AN104:AN114" ca="1" si="74">IF(AM104="Yes",TEXT(AL104,"h:mm AM/PM"),"")</f>
        <v>2:08 AM</v>
      </c>
      <c r="AO104">
        <v>33.1</v>
      </c>
      <c r="AP104">
        <f t="shared" ref="AP104:AP114" si="75">ROUND(MAX(0,MIN(10,(AO104-20)/6)),1)</f>
        <v>2.2000000000000002</v>
      </c>
      <c r="AQ104" t="str">
        <f t="shared" ref="AQ104:AQ114" ca="1" si="76">IF(AE104="⭐ PICK","PICK at "&amp;AN104,"")</f>
        <v/>
      </c>
    </row>
    <row r="105" spans="1:43" x14ac:dyDescent="0.3">
      <c r="A105" t="s">
        <v>40</v>
      </c>
      <c r="B105" t="s">
        <v>198</v>
      </c>
      <c r="D105" t="s">
        <v>69</v>
      </c>
      <c r="E105" t="s">
        <v>57</v>
      </c>
      <c r="G105" t="s">
        <v>45</v>
      </c>
      <c r="H105" t="s">
        <v>45</v>
      </c>
      <c r="I105" t="s">
        <v>45</v>
      </c>
      <c r="J105" t="s">
        <v>45</v>
      </c>
      <c r="K105" t="s">
        <v>45</v>
      </c>
      <c r="L105" t="s">
        <v>45</v>
      </c>
      <c r="M105" t="s">
        <v>45</v>
      </c>
      <c r="N105" t="s">
        <v>45</v>
      </c>
      <c r="O105" t="s">
        <v>45</v>
      </c>
      <c r="P105" t="s">
        <v>45</v>
      </c>
      <c r="Q105" t="s">
        <v>45</v>
      </c>
      <c r="R105" t="s">
        <v>45</v>
      </c>
      <c r="X105" t="str">
        <f t="shared" si="55"/>
        <v/>
      </c>
      <c r="AB105">
        <f t="shared" si="56"/>
        <v>45</v>
      </c>
      <c r="AD105">
        <f t="shared" si="57"/>
        <v>5</v>
      </c>
      <c r="AE105" t="str">
        <f t="shared" ca="1" si="71"/>
        <v/>
      </c>
      <c r="AI105">
        <v>11.233000000000001</v>
      </c>
      <c r="AJ105">
        <v>55.017000000000003</v>
      </c>
      <c r="AK105" t="s">
        <v>9</v>
      </c>
      <c r="AL105" s="5">
        <f t="shared" ca="1" si="72"/>
        <v>0.23450573538346609</v>
      </c>
      <c r="AM105" t="str">
        <f t="shared" si="73"/>
        <v>Yes</v>
      </c>
      <c r="AN105" s="7" t="str">
        <f t="shared" ca="1" si="74"/>
        <v>5:37 AM</v>
      </c>
      <c r="AO105">
        <v>64.2</v>
      </c>
      <c r="AP105">
        <f t="shared" si="75"/>
        <v>7.4</v>
      </c>
      <c r="AQ105" t="str">
        <f t="shared" ca="1" si="76"/>
        <v/>
      </c>
    </row>
    <row r="106" spans="1:43" x14ac:dyDescent="0.3">
      <c r="A106" t="s">
        <v>40</v>
      </c>
      <c r="B106" t="s">
        <v>199</v>
      </c>
      <c r="D106" t="s">
        <v>69</v>
      </c>
      <c r="E106" t="s">
        <v>57</v>
      </c>
      <c r="G106" t="s">
        <v>45</v>
      </c>
      <c r="H106" t="s">
        <v>45</v>
      </c>
      <c r="I106" t="s">
        <v>45</v>
      </c>
      <c r="J106" t="s">
        <v>45</v>
      </c>
      <c r="K106" t="s">
        <v>45</v>
      </c>
      <c r="L106" t="s">
        <v>45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s">
        <v>45</v>
      </c>
      <c r="X106" t="str">
        <f t="shared" si="55"/>
        <v/>
      </c>
      <c r="AB106">
        <f t="shared" si="56"/>
        <v>45</v>
      </c>
      <c r="AD106">
        <f t="shared" si="57"/>
        <v>5</v>
      </c>
      <c r="AE106" t="str">
        <f t="shared" ca="1" si="71"/>
        <v/>
      </c>
      <c r="AI106">
        <v>12.3</v>
      </c>
      <c r="AJ106">
        <v>14.4</v>
      </c>
      <c r="AK106" t="s">
        <v>9</v>
      </c>
      <c r="AL106" s="5">
        <f t="shared" ca="1" si="72"/>
        <v>0.27884267818654845</v>
      </c>
      <c r="AM106" t="str">
        <f t="shared" si="73"/>
        <v>Yes</v>
      </c>
      <c r="AN106" s="7" t="str">
        <f t="shared" ca="1" si="74"/>
        <v>6:41 AM</v>
      </c>
      <c r="AO106">
        <v>53</v>
      </c>
      <c r="AP106">
        <f t="shared" si="75"/>
        <v>5.5</v>
      </c>
      <c r="AQ106" t="str">
        <f t="shared" ca="1" si="76"/>
        <v/>
      </c>
    </row>
    <row r="107" spans="1:43" x14ac:dyDescent="0.3">
      <c r="A107" t="s">
        <v>40</v>
      </c>
      <c r="B107" t="s">
        <v>205</v>
      </c>
      <c r="D107" t="s">
        <v>69</v>
      </c>
      <c r="E107" t="s">
        <v>57</v>
      </c>
      <c r="G107" t="s">
        <v>45</v>
      </c>
      <c r="H107" t="s">
        <v>45</v>
      </c>
      <c r="I107" t="s">
        <v>45</v>
      </c>
      <c r="J107" t="s">
        <v>45</v>
      </c>
      <c r="K107" t="s">
        <v>45</v>
      </c>
      <c r="L107" t="s">
        <v>45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  <c r="R107" t="s">
        <v>45</v>
      </c>
      <c r="X107" t="str">
        <f t="shared" si="55"/>
        <v/>
      </c>
      <c r="AB107">
        <f t="shared" si="56"/>
        <v>45</v>
      </c>
      <c r="AD107">
        <f t="shared" si="57"/>
        <v>5</v>
      </c>
      <c r="AE107" t="str">
        <f t="shared" ca="1" si="71"/>
        <v/>
      </c>
      <c r="AI107">
        <v>15.1</v>
      </c>
      <c r="AJ107">
        <v>55.75</v>
      </c>
      <c r="AK107" t="s">
        <v>11</v>
      </c>
      <c r="AL107" s="5">
        <f t="shared" ca="1" si="72"/>
        <v>0.39519079425836717</v>
      </c>
      <c r="AM107" t="str">
        <f t="shared" si="73"/>
        <v>Yes</v>
      </c>
      <c r="AN107" s="7" t="str">
        <f t="shared" ca="1" si="74"/>
        <v>9:29 AM</v>
      </c>
      <c r="AO107">
        <v>33.700000000000003</v>
      </c>
      <c r="AP107">
        <f t="shared" si="75"/>
        <v>2.2999999999999998</v>
      </c>
      <c r="AQ107" t="str">
        <f t="shared" ca="1" si="76"/>
        <v/>
      </c>
    </row>
    <row r="108" spans="1:43" x14ac:dyDescent="0.3">
      <c r="A108" t="s">
        <v>40</v>
      </c>
      <c r="B108" t="s">
        <v>206</v>
      </c>
      <c r="D108" t="s">
        <v>69</v>
      </c>
      <c r="E108" t="s">
        <v>57</v>
      </c>
      <c r="G108" t="s">
        <v>45</v>
      </c>
      <c r="H108" t="s">
        <v>45</v>
      </c>
      <c r="I108" t="s">
        <v>45</v>
      </c>
      <c r="J108" t="s">
        <v>45</v>
      </c>
      <c r="K108" t="s">
        <v>45</v>
      </c>
      <c r="L108" t="s">
        <v>45</v>
      </c>
      <c r="M108" t="s">
        <v>45</v>
      </c>
      <c r="N108" t="s">
        <v>45</v>
      </c>
      <c r="O108" t="s">
        <v>45</v>
      </c>
      <c r="P108" t="s">
        <v>45</v>
      </c>
      <c r="Q108" t="s">
        <v>45</v>
      </c>
      <c r="R108" t="s">
        <v>45</v>
      </c>
      <c r="X108" t="str">
        <f t="shared" si="55"/>
        <v/>
      </c>
      <c r="AB108">
        <f t="shared" si="56"/>
        <v>45</v>
      </c>
      <c r="AD108">
        <f t="shared" si="57"/>
        <v>5</v>
      </c>
      <c r="AE108" t="str">
        <f t="shared" ca="1" si="71"/>
        <v/>
      </c>
      <c r="AI108">
        <v>1.55</v>
      </c>
      <c r="AJ108">
        <v>60.65</v>
      </c>
      <c r="AK108" t="s">
        <v>16</v>
      </c>
      <c r="AL108" s="5">
        <f t="shared" ca="1" si="72"/>
        <v>0.83214901826795851</v>
      </c>
      <c r="AM108" t="str">
        <f t="shared" si="73"/>
        <v>Yes</v>
      </c>
      <c r="AN108" s="7" t="str">
        <f t="shared" ca="1" si="74"/>
        <v>7:58 PM</v>
      </c>
      <c r="AO108">
        <v>62.1</v>
      </c>
      <c r="AP108">
        <f t="shared" si="75"/>
        <v>7</v>
      </c>
      <c r="AQ108" t="str">
        <f t="shared" ca="1" si="76"/>
        <v/>
      </c>
    </row>
    <row r="109" spans="1:43" x14ac:dyDescent="0.3">
      <c r="A109" t="s">
        <v>40</v>
      </c>
      <c r="B109" t="s">
        <v>207</v>
      </c>
      <c r="D109" t="s">
        <v>69</v>
      </c>
      <c r="E109" t="s">
        <v>57</v>
      </c>
      <c r="G109" t="s">
        <v>45</v>
      </c>
      <c r="H109" t="s">
        <v>45</v>
      </c>
      <c r="I109" t="s">
        <v>45</v>
      </c>
      <c r="J109" t="s">
        <v>45</v>
      </c>
      <c r="K109" t="s">
        <v>45</v>
      </c>
      <c r="L109" t="s">
        <v>45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s">
        <v>45</v>
      </c>
      <c r="X109" t="str">
        <f t="shared" si="55"/>
        <v/>
      </c>
      <c r="AB109">
        <f t="shared" si="56"/>
        <v>45</v>
      </c>
      <c r="AD109">
        <f t="shared" si="57"/>
        <v>5</v>
      </c>
      <c r="AE109" t="str">
        <f t="shared" ca="1" si="71"/>
        <v/>
      </c>
      <c r="AI109">
        <v>12.65</v>
      </c>
      <c r="AJ109">
        <v>-11.617000000000001</v>
      </c>
      <c r="AK109" t="s">
        <v>9</v>
      </c>
      <c r="AL109" s="5">
        <f t="shared" ca="1" si="72"/>
        <v>0.29338619269552579</v>
      </c>
      <c r="AM109" t="str">
        <f t="shared" si="73"/>
        <v>Yes</v>
      </c>
      <c r="AN109" s="7" t="str">
        <f t="shared" ca="1" si="74"/>
        <v>7:02 AM</v>
      </c>
      <c r="AO109">
        <v>31</v>
      </c>
      <c r="AP109">
        <f t="shared" si="75"/>
        <v>1.8</v>
      </c>
      <c r="AQ109" t="str">
        <f t="shared" ca="1" si="76"/>
        <v/>
      </c>
    </row>
    <row r="110" spans="1:43" x14ac:dyDescent="0.3">
      <c r="A110" t="s">
        <v>40</v>
      </c>
      <c r="B110" t="s">
        <v>208</v>
      </c>
      <c r="D110" t="s">
        <v>69</v>
      </c>
      <c r="E110" t="s">
        <v>57</v>
      </c>
      <c r="G110" t="s">
        <v>45</v>
      </c>
      <c r="H110" t="s">
        <v>45</v>
      </c>
      <c r="I110" t="s">
        <v>45</v>
      </c>
      <c r="J110" t="s">
        <v>45</v>
      </c>
      <c r="K110" t="s">
        <v>45</v>
      </c>
      <c r="L110" t="s">
        <v>45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s">
        <v>45</v>
      </c>
      <c r="X110" t="str">
        <f t="shared" si="55"/>
        <v/>
      </c>
      <c r="AB110">
        <f t="shared" si="56"/>
        <v>45</v>
      </c>
      <c r="AD110">
        <f t="shared" si="57"/>
        <v>5</v>
      </c>
      <c r="AE110" t="str">
        <f t="shared" ca="1" si="71"/>
        <v/>
      </c>
      <c r="AI110">
        <v>10.782999999999999</v>
      </c>
      <c r="AJ110">
        <v>12.567</v>
      </c>
      <c r="AK110" t="s">
        <v>8</v>
      </c>
      <c r="AL110" s="5">
        <f t="shared" ca="1" si="72"/>
        <v>0.21580693101478088</v>
      </c>
      <c r="AM110" t="str">
        <f t="shared" si="73"/>
        <v>Yes</v>
      </c>
      <c r="AN110" s="7" t="str">
        <f t="shared" ca="1" si="74"/>
        <v>5:10 AM</v>
      </c>
      <c r="AO110">
        <v>66.599999999999994</v>
      </c>
      <c r="AP110">
        <f t="shared" si="75"/>
        <v>7.8</v>
      </c>
      <c r="AQ110" t="str">
        <f t="shared" ca="1" si="76"/>
        <v/>
      </c>
    </row>
    <row r="111" spans="1:43" x14ac:dyDescent="0.3">
      <c r="A111" t="s">
        <v>40</v>
      </c>
      <c r="B111" t="s">
        <v>209</v>
      </c>
      <c r="C111" t="s">
        <v>152</v>
      </c>
      <c r="D111" t="s">
        <v>179</v>
      </c>
      <c r="E111" t="s">
        <v>57</v>
      </c>
      <c r="I111" t="s">
        <v>45</v>
      </c>
      <c r="J111" t="s">
        <v>45</v>
      </c>
      <c r="K111" t="s">
        <v>45</v>
      </c>
      <c r="L111" t="s">
        <v>45</v>
      </c>
      <c r="S111">
        <v>10</v>
      </c>
      <c r="X111" t="str">
        <f t="shared" si="55"/>
        <v>No</v>
      </c>
      <c r="Y111" t="s">
        <v>116</v>
      </c>
      <c r="Z111" t="s">
        <v>48</v>
      </c>
      <c r="AA111" t="s">
        <v>117</v>
      </c>
      <c r="AB111">
        <f t="shared" si="56"/>
        <v>90</v>
      </c>
      <c r="AC111" t="s">
        <v>49</v>
      </c>
      <c r="AD111">
        <f t="shared" si="57"/>
        <v>8</v>
      </c>
      <c r="AE111" t="str">
        <f t="shared" ca="1" si="71"/>
        <v>⭐ PICK</v>
      </c>
      <c r="AI111">
        <v>12.3</v>
      </c>
      <c r="AJ111">
        <v>47.3</v>
      </c>
      <c r="AK111" t="s">
        <v>9</v>
      </c>
      <c r="AL111" s="5">
        <f t="shared" ca="1" si="72"/>
        <v>0.27884267818654845</v>
      </c>
      <c r="AM111" t="str">
        <f t="shared" si="73"/>
        <v>Yes</v>
      </c>
      <c r="AN111" s="7" t="str">
        <f t="shared" ca="1" si="74"/>
        <v>6:41 AM</v>
      </c>
      <c r="AO111">
        <v>59.8</v>
      </c>
      <c r="AP111">
        <f t="shared" si="75"/>
        <v>6.6</v>
      </c>
      <c r="AQ111" t="str">
        <f t="shared" ca="1" si="76"/>
        <v>PICK at 6:41 AM</v>
      </c>
    </row>
    <row r="112" spans="1:43" x14ac:dyDescent="0.3">
      <c r="A112" t="s">
        <v>40</v>
      </c>
      <c r="B112" t="s">
        <v>210</v>
      </c>
      <c r="D112" t="s">
        <v>69</v>
      </c>
      <c r="E112" t="s">
        <v>57</v>
      </c>
      <c r="G112" t="s">
        <v>45</v>
      </c>
      <c r="H112" t="s">
        <v>45</v>
      </c>
      <c r="I112" t="s">
        <v>45</v>
      </c>
      <c r="J112" t="s">
        <v>45</v>
      </c>
      <c r="K112" t="s">
        <v>45</v>
      </c>
      <c r="L112" t="s">
        <v>45</v>
      </c>
      <c r="M112" t="s">
        <v>45</v>
      </c>
      <c r="N112" t="s">
        <v>45</v>
      </c>
      <c r="O112" t="s">
        <v>45</v>
      </c>
      <c r="P112" t="s">
        <v>45</v>
      </c>
      <c r="Q112" t="s">
        <v>45</v>
      </c>
      <c r="R112" t="s">
        <v>45</v>
      </c>
      <c r="X112" t="str">
        <f t="shared" si="55"/>
        <v/>
      </c>
      <c r="AB112">
        <f t="shared" si="56"/>
        <v>45</v>
      </c>
      <c r="AD112">
        <f t="shared" si="57"/>
        <v>5</v>
      </c>
      <c r="AE112" t="str">
        <f t="shared" ca="1" si="71"/>
        <v/>
      </c>
      <c r="AI112">
        <v>16.533000000000001</v>
      </c>
      <c r="AJ112">
        <v>-13.05</v>
      </c>
      <c r="AK112" t="s">
        <v>11</v>
      </c>
      <c r="AL112" s="5">
        <f t="shared" ca="1" si="72"/>
        <v>0.4547360979479802</v>
      </c>
      <c r="AM112" t="str">
        <f t="shared" si="73"/>
        <v>No</v>
      </c>
      <c r="AN112" s="7" t="str">
        <f t="shared" si="74"/>
        <v/>
      </c>
      <c r="AO112">
        <v>-14.3</v>
      </c>
      <c r="AP112">
        <f t="shared" si="75"/>
        <v>0</v>
      </c>
      <c r="AQ112" t="str">
        <f t="shared" ca="1" si="76"/>
        <v/>
      </c>
    </row>
    <row r="113" spans="1:43" x14ac:dyDescent="0.3">
      <c r="A113" t="s">
        <v>40</v>
      </c>
      <c r="B113" t="s">
        <v>211</v>
      </c>
      <c r="D113" t="s">
        <v>69</v>
      </c>
      <c r="E113" t="s">
        <v>57</v>
      </c>
      <c r="G113" t="s">
        <v>45</v>
      </c>
      <c r="H113" t="s">
        <v>45</v>
      </c>
      <c r="I113" t="s">
        <v>45</v>
      </c>
      <c r="J113" t="s">
        <v>45</v>
      </c>
      <c r="K113" t="s">
        <v>45</v>
      </c>
      <c r="L113" t="s">
        <v>45</v>
      </c>
      <c r="M113" t="s">
        <v>45</v>
      </c>
      <c r="N113" t="s">
        <v>45</v>
      </c>
      <c r="O113" t="s">
        <v>45</v>
      </c>
      <c r="P113" t="s">
        <v>45</v>
      </c>
      <c r="Q113" t="s">
        <v>45</v>
      </c>
      <c r="R113" t="s">
        <v>45</v>
      </c>
      <c r="X113" t="str">
        <f t="shared" si="55"/>
        <v/>
      </c>
      <c r="AB113">
        <f t="shared" si="56"/>
        <v>45</v>
      </c>
      <c r="AD113">
        <f t="shared" si="57"/>
        <v>5</v>
      </c>
      <c r="AE113" t="str">
        <f t="shared" ca="1" si="71"/>
        <v/>
      </c>
      <c r="AI113">
        <v>11.183</v>
      </c>
      <c r="AJ113">
        <v>55.667000000000002</v>
      </c>
      <c r="AK113" t="s">
        <v>9</v>
      </c>
      <c r="AL113" s="5">
        <f t="shared" ca="1" si="72"/>
        <v>0.23242809045361215</v>
      </c>
      <c r="AM113" t="str">
        <f t="shared" si="73"/>
        <v>Yes</v>
      </c>
      <c r="AN113" s="7" t="str">
        <f t="shared" ca="1" si="74"/>
        <v>5:34 AM</v>
      </c>
      <c r="AO113">
        <v>63.9</v>
      </c>
      <c r="AP113">
        <f t="shared" si="75"/>
        <v>7.3</v>
      </c>
      <c r="AQ113" t="str">
        <f t="shared" ca="1" si="76"/>
        <v/>
      </c>
    </row>
    <row r="114" spans="1:43" x14ac:dyDescent="0.3">
      <c r="A114" t="s">
        <v>40</v>
      </c>
      <c r="B114" t="s">
        <v>78</v>
      </c>
      <c r="C114" t="s">
        <v>70</v>
      </c>
      <c r="D114" t="s">
        <v>69</v>
      </c>
      <c r="E114" t="s">
        <v>57</v>
      </c>
      <c r="G114" t="s">
        <v>45</v>
      </c>
      <c r="H114" t="s">
        <v>45</v>
      </c>
      <c r="I114" t="s">
        <v>45</v>
      </c>
      <c r="J114" t="s">
        <v>45</v>
      </c>
      <c r="K114" t="s">
        <v>45</v>
      </c>
      <c r="L114" t="s">
        <v>45</v>
      </c>
      <c r="M114" t="s">
        <v>45</v>
      </c>
      <c r="N114" t="s">
        <v>45</v>
      </c>
      <c r="O114" t="s">
        <v>45</v>
      </c>
      <c r="P114" t="s">
        <v>45</v>
      </c>
      <c r="Q114" t="s">
        <v>45</v>
      </c>
      <c r="R114" t="s">
        <v>45</v>
      </c>
      <c r="S114">
        <v>20</v>
      </c>
      <c r="X114" t="str">
        <f t="shared" si="55"/>
        <v>No</v>
      </c>
      <c r="Y114" t="s">
        <v>70</v>
      </c>
      <c r="Z114" t="s">
        <v>47</v>
      </c>
      <c r="AA114" t="s">
        <v>56</v>
      </c>
      <c r="AB114">
        <f t="shared" si="56"/>
        <v>20</v>
      </c>
      <c r="AC114" t="s">
        <v>71</v>
      </c>
      <c r="AD114">
        <f t="shared" si="57"/>
        <v>10</v>
      </c>
      <c r="AE114" t="str">
        <f t="shared" ca="1" si="71"/>
        <v>⭐ PICK</v>
      </c>
      <c r="AI114">
        <v>11.95</v>
      </c>
      <c r="AJ114">
        <v>53.366999999999997</v>
      </c>
      <c r="AK114" t="s">
        <v>9</v>
      </c>
      <c r="AL114" s="5">
        <f t="shared" ca="1" si="72"/>
        <v>0.26429916367757106</v>
      </c>
      <c r="AM114" t="str">
        <f t="shared" si="73"/>
        <v>Yes</v>
      </c>
      <c r="AN114" s="7" t="str">
        <f t="shared" ca="1" si="74"/>
        <v>6:20 AM</v>
      </c>
      <c r="AO114">
        <v>60.5</v>
      </c>
      <c r="AP114">
        <f t="shared" si="75"/>
        <v>6.8</v>
      </c>
      <c r="AQ114" t="str">
        <f t="shared" ca="1" si="76"/>
        <v>PICK at 6:20 AM</v>
      </c>
    </row>
    <row r="115" spans="1:43" hidden="1" x14ac:dyDescent="0.3">
      <c r="A115" t="s">
        <v>40</v>
      </c>
      <c r="B115" t="s">
        <v>215</v>
      </c>
      <c r="C115" t="s">
        <v>70</v>
      </c>
      <c r="D115" t="s">
        <v>43</v>
      </c>
      <c r="E115" t="s">
        <v>44</v>
      </c>
      <c r="G115" t="s">
        <v>45</v>
      </c>
      <c r="H115" t="s">
        <v>45</v>
      </c>
      <c r="I115" t="s">
        <v>45</v>
      </c>
      <c r="S115">
        <v>20</v>
      </c>
      <c r="X115" t="str">
        <f t="shared" ref="X115:X124" si="77">IF(S115="", "", IF(S115&gt;78,"Yes","No"))</f>
        <v>No</v>
      </c>
      <c r="Y115" t="s">
        <v>70</v>
      </c>
      <c r="Z115" t="s">
        <v>47</v>
      </c>
      <c r="AA115" t="s">
        <v>56</v>
      </c>
      <c r="AB115">
        <f t="shared" ref="AB115:AB124" si="78">IF(Y115="Emission Nebula",90,IF(Y115="Reflection Nebula",75,IF(Y115="Planetary Nebula",60,IF(Y115="Galaxy",90,IF(Y115="Globular Cluster",30,IF(Y115="Open Cluster",20,IF(Y115="Comet",20,IF(Y115="Planet",10,IF(Y115="Star",5,45)))))))))</f>
        <v>20</v>
      </c>
      <c r="AC115" t="s">
        <v>71</v>
      </c>
      <c r="AD115">
        <f t="shared" ref="AD115:AD124" si="79">MAX(1,MIN(10,ROUND((IF(S115="",5,IF(S115&lt;3,2,IF(S115&lt;10,4,IF(S115&lt;=70,8,IF(S115&lt;=100,6,4))))))+IF(Y115="Emission Nebula",2,IF(Y115="Open Cluster",2,IF(Y115="Globular Cluster",2,IF(Y115="Reflection Nebula",1,IF(Y115="Planetary Nebula",1,IF(Y115="Comet",1,0))))))+IF(Z115="High (easy)",2,IF(Z115="Medium",1,IF(Z115="Low (hard)",-1,0)))+IF(AA115="High (OK with Moon)",2,IF(AA115="Medium",0,IF(AA115="Low (needs dark)",-2,0)))+IF(AC115="High (best &gt;50°)",1,IF(AC115="Medium",0,IF(AC115="Low (OK)",-1,0))),0)))</f>
        <v>10</v>
      </c>
      <c r="AE115" t="str">
        <f t="shared" ref="AE115:AE124" ca="1" si="80">IF(AND(CHOOSE(MONTH(TODAY()),G115,H115,I115,J115,K115,L115,M115,N115,O115,P115,Q115,R115)="✔",AD115&gt;=7,OR(V115&lt;&gt;"No",V115=""),OR(X115="No",X115="")),"⭐ PICK","")</f>
        <v>⭐ PICK</v>
      </c>
      <c r="AI115">
        <v>0.79333333333333333</v>
      </c>
      <c r="AJ115">
        <v>-25.283333333333331</v>
      </c>
    </row>
    <row r="116" spans="1:43" x14ac:dyDescent="0.3">
      <c r="A116" t="s">
        <v>40</v>
      </c>
      <c r="B116" t="s">
        <v>212</v>
      </c>
      <c r="D116" t="s">
        <v>69</v>
      </c>
      <c r="E116" t="s">
        <v>57</v>
      </c>
      <c r="G116" t="s">
        <v>45</v>
      </c>
      <c r="H116" t="s">
        <v>45</v>
      </c>
      <c r="I116" t="s">
        <v>45</v>
      </c>
      <c r="J116" t="s">
        <v>45</v>
      </c>
      <c r="K116" t="s">
        <v>45</v>
      </c>
      <c r="L116" t="s">
        <v>45</v>
      </c>
      <c r="M116" t="s">
        <v>45</v>
      </c>
      <c r="N116" t="s">
        <v>45</v>
      </c>
      <c r="O116" t="s">
        <v>45</v>
      </c>
      <c r="P116" t="s">
        <v>45</v>
      </c>
      <c r="Q116" t="s">
        <v>45</v>
      </c>
      <c r="R116" t="s">
        <v>45</v>
      </c>
      <c r="X116" t="str">
        <f t="shared" si="77"/>
        <v/>
      </c>
      <c r="AB116">
        <f t="shared" si="78"/>
        <v>45</v>
      </c>
      <c r="AD116">
        <f t="shared" si="79"/>
        <v>5</v>
      </c>
      <c r="AE116" t="str">
        <f t="shared" ref="AE116:AE118" ca="1" si="81">IF(AND(CHOOSE(MONTH(TODAY()),G116,H116,I116,J116,K116,L116,M116,N116,O116,P116,Q116,R116)="✔",AD116&gt;=7,AM116="Yes",AO116&gt;=50,OR(X116="No",X116=""),OR(E116="No",V116="Yes")),"⭐ PICK","")</f>
        <v/>
      </c>
      <c r="AI116">
        <v>0.66700000000000004</v>
      </c>
      <c r="AJ116">
        <v>41.683</v>
      </c>
      <c r="AK116" t="s">
        <v>15</v>
      </c>
      <c r="AL116" s="5">
        <f t="shared" ref="AL116:AL118" ca="1" si="82">IFERROR(MOD((AI116-(MOD(18.697374558+24.065709824419*(TODAY()-DATE(2000,1,1)+0.5)+$AZ$1/15,24)))/1.00273790935,24)/24,"")</f>
        <v>0.79545780880673866</v>
      </c>
      <c r="AM116" t="str">
        <f t="shared" ref="AM116:AM118" si="83">IF(AO116&gt;=20,"Yes","No")</f>
        <v>Yes</v>
      </c>
      <c r="AN116" s="7" t="str">
        <f t="shared" ref="AN116:AN118" ca="1" si="84">IF(AM116="Yes",TEXT(AL116,"h:mm AM/PM"),"")</f>
        <v>7:05 PM</v>
      </c>
      <c r="AO116">
        <v>72.7</v>
      </c>
      <c r="AP116">
        <f t="shared" ref="AP116:AP118" si="85">ROUND(MAX(0,MIN(10,(AO116-20)/6)),1)</f>
        <v>8.8000000000000007</v>
      </c>
      <c r="AQ116" t="str">
        <f t="shared" ref="AQ116:AQ118" ca="1" si="86">IF(AE116="⭐ PICK","PICK at "&amp;AN116,"")</f>
        <v/>
      </c>
    </row>
    <row r="117" spans="1:43" x14ac:dyDescent="0.3">
      <c r="A117" t="s">
        <v>40</v>
      </c>
      <c r="B117" t="s">
        <v>213</v>
      </c>
      <c r="D117" t="s">
        <v>69</v>
      </c>
      <c r="E117" t="s">
        <v>57</v>
      </c>
      <c r="G117" t="s">
        <v>45</v>
      </c>
      <c r="H117" t="s">
        <v>45</v>
      </c>
      <c r="I117" t="s">
        <v>45</v>
      </c>
      <c r="J117" t="s">
        <v>45</v>
      </c>
      <c r="K117" t="s">
        <v>45</v>
      </c>
      <c r="L117" t="s">
        <v>45</v>
      </c>
      <c r="M117" t="s">
        <v>45</v>
      </c>
      <c r="N117" t="s">
        <v>45</v>
      </c>
      <c r="O117" t="s">
        <v>45</v>
      </c>
      <c r="P117" t="s">
        <v>45</v>
      </c>
      <c r="Q117" t="s">
        <v>45</v>
      </c>
      <c r="R117" t="s">
        <v>45</v>
      </c>
      <c r="X117" t="str">
        <f t="shared" si="77"/>
        <v/>
      </c>
      <c r="AB117">
        <f t="shared" si="78"/>
        <v>45</v>
      </c>
      <c r="AD117">
        <f t="shared" si="79"/>
        <v>5</v>
      </c>
      <c r="AE117" t="str">
        <f t="shared" ca="1" si="81"/>
        <v/>
      </c>
      <c r="AI117">
        <v>2.316666666666666</v>
      </c>
      <c r="AJ117">
        <v>57.15</v>
      </c>
      <c r="AL117" s="5">
        <f t="shared" ca="1" si="82"/>
        <v>0.86400624052571839</v>
      </c>
      <c r="AM117" t="str">
        <f t="shared" si="83"/>
        <v>No</v>
      </c>
      <c r="AN117" s="7" t="str">
        <f t="shared" si="84"/>
        <v/>
      </c>
      <c r="AP117">
        <f t="shared" si="85"/>
        <v>0</v>
      </c>
      <c r="AQ117" t="str">
        <f t="shared" ca="1" si="86"/>
        <v/>
      </c>
    </row>
    <row r="118" spans="1:43" x14ac:dyDescent="0.3">
      <c r="A118" t="s">
        <v>40</v>
      </c>
      <c r="B118" t="s">
        <v>214</v>
      </c>
      <c r="C118" t="s">
        <v>54</v>
      </c>
      <c r="D118" t="s">
        <v>60</v>
      </c>
      <c r="E118" t="s">
        <v>57</v>
      </c>
      <c r="K118" t="s">
        <v>45</v>
      </c>
      <c r="L118" t="s">
        <v>45</v>
      </c>
      <c r="M118" t="s">
        <v>45</v>
      </c>
      <c r="S118">
        <v>10</v>
      </c>
      <c r="X118" t="str">
        <f t="shared" si="77"/>
        <v>No</v>
      </c>
      <c r="Y118" t="s">
        <v>54</v>
      </c>
      <c r="Z118" t="s">
        <v>47</v>
      </c>
      <c r="AA118" t="s">
        <v>56</v>
      </c>
      <c r="AB118">
        <f t="shared" si="78"/>
        <v>30</v>
      </c>
      <c r="AC118" t="s">
        <v>48</v>
      </c>
      <c r="AD118">
        <f t="shared" si="79"/>
        <v>10</v>
      </c>
      <c r="AE118" t="str">
        <f t="shared" ca="1" si="81"/>
        <v/>
      </c>
      <c r="AI118">
        <v>2.3733333333333331</v>
      </c>
      <c r="AJ118">
        <v>57.116666666666667</v>
      </c>
      <c r="AL118" s="5">
        <f t="shared" ca="1" si="82"/>
        <v>0.86636090477955285</v>
      </c>
      <c r="AM118" t="str">
        <f t="shared" si="83"/>
        <v>No</v>
      </c>
      <c r="AN118" s="7" t="str">
        <f t="shared" si="84"/>
        <v/>
      </c>
      <c r="AP118">
        <f t="shared" si="85"/>
        <v>0</v>
      </c>
      <c r="AQ118" t="str">
        <f t="shared" ca="1" si="86"/>
        <v/>
      </c>
    </row>
    <row r="119" spans="1:43" hidden="1" x14ac:dyDescent="0.3">
      <c r="A119" t="s">
        <v>40</v>
      </c>
      <c r="B119" t="s">
        <v>220</v>
      </c>
      <c r="C119" t="s">
        <v>221</v>
      </c>
      <c r="D119" t="s">
        <v>202</v>
      </c>
      <c r="E119" t="s">
        <v>44</v>
      </c>
      <c r="I119" t="s">
        <v>45</v>
      </c>
      <c r="J119" t="s">
        <v>45</v>
      </c>
      <c r="K119" t="s">
        <v>45</v>
      </c>
      <c r="S119">
        <v>60</v>
      </c>
      <c r="X119" t="str">
        <f t="shared" si="77"/>
        <v>No</v>
      </c>
      <c r="Y119" t="s">
        <v>46</v>
      </c>
      <c r="Z119" t="s">
        <v>47</v>
      </c>
      <c r="AA119" t="s">
        <v>48</v>
      </c>
      <c r="AB119">
        <f t="shared" si="78"/>
        <v>90</v>
      </c>
      <c r="AC119" t="s">
        <v>49</v>
      </c>
      <c r="AD119">
        <f t="shared" si="79"/>
        <v>10</v>
      </c>
      <c r="AE119" t="str">
        <f t="shared" ca="1" si="80"/>
        <v>⭐ PICK</v>
      </c>
      <c r="AI119">
        <v>8.8783333333333339</v>
      </c>
      <c r="AJ119">
        <v>33.416666666666657</v>
      </c>
    </row>
    <row r="120" spans="1:43" x14ac:dyDescent="0.3">
      <c r="A120" t="s">
        <v>40</v>
      </c>
      <c r="B120" t="s">
        <v>216</v>
      </c>
      <c r="C120" t="s">
        <v>116</v>
      </c>
      <c r="D120" t="s">
        <v>179</v>
      </c>
      <c r="E120" t="s">
        <v>57</v>
      </c>
      <c r="I120" t="s">
        <v>45</v>
      </c>
      <c r="J120" t="s">
        <v>45</v>
      </c>
      <c r="K120" t="s">
        <v>45</v>
      </c>
      <c r="L120" t="s">
        <v>45</v>
      </c>
      <c r="S120">
        <v>10</v>
      </c>
      <c r="X120" t="str">
        <f t="shared" si="77"/>
        <v>No</v>
      </c>
      <c r="Y120" t="s">
        <v>116</v>
      </c>
      <c r="Z120" t="s">
        <v>48</v>
      </c>
      <c r="AA120" t="s">
        <v>117</v>
      </c>
      <c r="AB120">
        <f t="shared" si="78"/>
        <v>90</v>
      </c>
      <c r="AC120" t="s">
        <v>49</v>
      </c>
      <c r="AD120">
        <f t="shared" si="79"/>
        <v>8</v>
      </c>
      <c r="AE120" t="str">
        <f t="shared" ref="AE120:AE128" ca="1" si="87">IF(AND(CHOOSE(MONTH(TODAY()),G120,H120,I120,J120,K120,L120,M120,N120,O120,P120,Q120,R120)="✔",AD120&gt;=7,AM120="Yes",AO120&gt;=50,OR(X120="No",X120=""),OR(E120="No",V120="Yes")),"⭐ PICK","")</f>
        <v/>
      </c>
      <c r="AI120">
        <v>6.54</v>
      </c>
      <c r="AJ120">
        <v>4.8666666666666671</v>
      </c>
      <c r="AL120" s="5">
        <f t="shared" ref="AL120:AL128" ca="1" si="88">IFERROR(MOD((AI120-(MOD(18.697374558+24.065709824419*(TODAY()-DATE(2000,1,1)+0.5)+$AZ$1/15,24)))/1.00273790935,24)/24,"")</f>
        <v>3.9497982267378419E-2</v>
      </c>
      <c r="AM120" t="str">
        <f t="shared" ref="AM120:AM128" si="89">IF(AO120&gt;=20,"Yes","No")</f>
        <v>No</v>
      </c>
      <c r="AN120" s="7" t="str">
        <f t="shared" ref="AN120:AN128" si="90">IF(AM120="Yes",TEXT(AL120,"h:mm AM/PM"),"")</f>
        <v/>
      </c>
      <c r="AP120">
        <f t="shared" ref="AP120:AP128" si="91">ROUND(MAX(0,MIN(10,(AO120-20)/6)),1)</f>
        <v>0</v>
      </c>
      <c r="AQ120" t="str">
        <f t="shared" ref="AQ120:AQ128" ca="1" si="92">IF(AE120="⭐ PICK","PICK at "&amp;AN120,"")</f>
        <v/>
      </c>
    </row>
    <row r="121" spans="1:43" x14ac:dyDescent="0.3">
      <c r="A121" t="s">
        <v>40</v>
      </c>
      <c r="B121" t="s">
        <v>217</v>
      </c>
      <c r="C121" t="s">
        <v>218</v>
      </c>
      <c r="D121" t="s">
        <v>179</v>
      </c>
      <c r="E121" t="s">
        <v>57</v>
      </c>
      <c r="I121" t="s">
        <v>45</v>
      </c>
      <c r="J121" t="s">
        <v>45</v>
      </c>
      <c r="K121" t="s">
        <v>45</v>
      </c>
      <c r="L121" t="s">
        <v>45</v>
      </c>
      <c r="S121">
        <v>10</v>
      </c>
      <c r="X121" t="str">
        <f t="shared" si="77"/>
        <v>No</v>
      </c>
      <c r="Y121" t="s">
        <v>116</v>
      </c>
      <c r="Z121" t="s">
        <v>48</v>
      </c>
      <c r="AA121" t="s">
        <v>117</v>
      </c>
      <c r="AB121">
        <f t="shared" si="78"/>
        <v>90</v>
      </c>
      <c r="AC121" t="s">
        <v>49</v>
      </c>
      <c r="AD121">
        <f t="shared" si="79"/>
        <v>8</v>
      </c>
      <c r="AE121" t="str">
        <f t="shared" ca="1" si="87"/>
        <v/>
      </c>
      <c r="AI121">
        <v>7.4866666666666664</v>
      </c>
      <c r="AJ121">
        <v>20.916666666666671</v>
      </c>
      <c r="AL121" s="5">
        <f t="shared" ca="1" si="88"/>
        <v>7.8834726272612357E-2</v>
      </c>
      <c r="AM121" t="str">
        <f t="shared" si="89"/>
        <v>No</v>
      </c>
      <c r="AN121" s="7" t="str">
        <f t="shared" si="90"/>
        <v/>
      </c>
      <c r="AP121">
        <f t="shared" si="91"/>
        <v>0</v>
      </c>
      <c r="AQ121" t="str">
        <f t="shared" ca="1" si="92"/>
        <v/>
      </c>
    </row>
    <row r="122" spans="1:43" x14ac:dyDescent="0.3">
      <c r="A122" t="s">
        <v>40</v>
      </c>
      <c r="B122" t="s">
        <v>219</v>
      </c>
      <c r="C122" t="s">
        <v>190</v>
      </c>
      <c r="D122" t="s">
        <v>179</v>
      </c>
      <c r="E122" t="s">
        <v>57</v>
      </c>
      <c r="I122" t="s">
        <v>45</v>
      </c>
      <c r="J122" t="s">
        <v>45</v>
      </c>
      <c r="K122" t="s">
        <v>45</v>
      </c>
      <c r="L122" t="s">
        <v>45</v>
      </c>
      <c r="S122">
        <v>10</v>
      </c>
      <c r="X122" t="str">
        <f t="shared" si="77"/>
        <v>No</v>
      </c>
      <c r="Y122" t="s">
        <v>116</v>
      </c>
      <c r="Z122" t="s">
        <v>48</v>
      </c>
      <c r="AA122" t="s">
        <v>117</v>
      </c>
      <c r="AB122">
        <f t="shared" si="78"/>
        <v>90</v>
      </c>
      <c r="AC122" t="s">
        <v>49</v>
      </c>
      <c r="AD122">
        <f t="shared" si="79"/>
        <v>8</v>
      </c>
      <c r="AE122" t="str">
        <f t="shared" ca="1" si="87"/>
        <v/>
      </c>
      <c r="AI122">
        <v>7.6349999999999998</v>
      </c>
      <c r="AJ122">
        <v>38.883333333333333</v>
      </c>
      <c r="AL122" s="5">
        <f t="shared" ca="1" si="88"/>
        <v>8.499840623117895E-2</v>
      </c>
      <c r="AM122" t="str">
        <f t="shared" si="89"/>
        <v>No</v>
      </c>
      <c r="AN122" s="7" t="str">
        <f t="shared" si="90"/>
        <v/>
      </c>
      <c r="AP122">
        <f t="shared" si="91"/>
        <v>0</v>
      </c>
      <c r="AQ122" t="str">
        <f t="shared" ca="1" si="92"/>
        <v/>
      </c>
    </row>
    <row r="123" spans="1:43" x14ac:dyDescent="0.3">
      <c r="A123" t="s">
        <v>40</v>
      </c>
      <c r="B123" t="s">
        <v>222</v>
      </c>
      <c r="D123" t="s">
        <v>69</v>
      </c>
      <c r="E123" t="s">
        <v>57</v>
      </c>
      <c r="G123" t="s">
        <v>45</v>
      </c>
      <c r="H123" t="s">
        <v>45</v>
      </c>
      <c r="I123" t="s">
        <v>45</v>
      </c>
      <c r="J123" t="s">
        <v>45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45</v>
      </c>
      <c r="Q123" t="s">
        <v>45</v>
      </c>
      <c r="R123" t="s">
        <v>45</v>
      </c>
      <c r="X123" t="str">
        <f t="shared" si="77"/>
        <v/>
      </c>
      <c r="AB123">
        <f t="shared" si="78"/>
        <v>45</v>
      </c>
      <c r="AD123">
        <f t="shared" si="79"/>
        <v>5</v>
      </c>
      <c r="AE123" t="str">
        <f t="shared" ca="1" si="87"/>
        <v/>
      </c>
      <c r="AI123">
        <v>9.5366666666666671</v>
      </c>
      <c r="AJ123">
        <v>21.5</v>
      </c>
      <c r="AL123" s="5">
        <f t="shared" ca="1" si="88"/>
        <v>0.16401816839662256</v>
      </c>
      <c r="AM123" t="str">
        <f t="shared" si="89"/>
        <v>No</v>
      </c>
      <c r="AN123" s="7" t="str">
        <f t="shared" si="90"/>
        <v/>
      </c>
      <c r="AP123">
        <f t="shared" si="91"/>
        <v>0</v>
      </c>
      <c r="AQ123" t="str">
        <f t="shared" ca="1" si="92"/>
        <v/>
      </c>
    </row>
    <row r="124" spans="1:43" x14ac:dyDescent="0.3">
      <c r="A124" t="s">
        <v>40</v>
      </c>
      <c r="B124" t="s">
        <v>224</v>
      </c>
      <c r="C124" t="s">
        <v>190</v>
      </c>
      <c r="D124" t="s">
        <v>179</v>
      </c>
      <c r="E124" t="s">
        <v>57</v>
      </c>
      <c r="I124" t="s">
        <v>45</v>
      </c>
      <c r="J124" t="s">
        <v>45</v>
      </c>
      <c r="K124" t="s">
        <v>45</v>
      </c>
      <c r="L124" t="s">
        <v>45</v>
      </c>
      <c r="S124">
        <v>10</v>
      </c>
      <c r="X124" t="str">
        <f t="shared" si="77"/>
        <v>No</v>
      </c>
      <c r="Y124" t="s">
        <v>116</v>
      </c>
      <c r="Z124" t="s">
        <v>48</v>
      </c>
      <c r="AA124" t="s">
        <v>117</v>
      </c>
      <c r="AB124">
        <f t="shared" si="78"/>
        <v>90</v>
      </c>
      <c r="AC124" t="s">
        <v>49</v>
      </c>
      <c r="AD124">
        <f t="shared" si="79"/>
        <v>8</v>
      </c>
      <c r="AE124" t="str">
        <f t="shared" ca="1" si="87"/>
        <v/>
      </c>
      <c r="AI124">
        <v>10.055</v>
      </c>
      <c r="AJ124">
        <v>68.733333333333334</v>
      </c>
      <c r="AL124" s="5">
        <f t="shared" ca="1" si="88"/>
        <v>0.18555642083610802</v>
      </c>
      <c r="AM124" t="str">
        <f t="shared" si="89"/>
        <v>No</v>
      </c>
      <c r="AN124" s="7" t="str">
        <f t="shared" si="90"/>
        <v/>
      </c>
      <c r="AP124">
        <f t="shared" si="91"/>
        <v>0</v>
      </c>
      <c r="AQ124" t="str">
        <f t="shared" ca="1" si="92"/>
        <v/>
      </c>
    </row>
    <row r="125" spans="1:43" x14ac:dyDescent="0.3">
      <c r="A125" t="s">
        <v>40</v>
      </c>
      <c r="B125" t="s">
        <v>226</v>
      </c>
      <c r="C125" t="s">
        <v>227</v>
      </c>
      <c r="D125" t="s">
        <v>421</v>
      </c>
      <c r="H125" t="s">
        <v>45</v>
      </c>
      <c r="I125" t="s">
        <v>45</v>
      </c>
      <c r="J125" t="s">
        <v>45</v>
      </c>
      <c r="O125">
        <v>28</v>
      </c>
      <c r="P125">
        <v>120</v>
      </c>
      <c r="Q125" t="s">
        <v>414</v>
      </c>
      <c r="S125" t="s">
        <v>417</v>
      </c>
      <c r="T125" t="s">
        <v>190</v>
      </c>
      <c r="U125" t="s">
        <v>420</v>
      </c>
      <c r="V125" t="s">
        <v>389</v>
      </c>
      <c r="W125">
        <v>180</v>
      </c>
      <c r="X125" t="s">
        <v>48</v>
      </c>
      <c r="Y125">
        <v>7</v>
      </c>
      <c r="AC125">
        <v>14.05</v>
      </c>
      <c r="AD125">
        <v>54.35</v>
      </c>
      <c r="AE125" t="str">
        <f t="shared" ca="1" si="87"/>
        <v/>
      </c>
      <c r="AL125" s="5">
        <f t="shared" ca="1" si="88"/>
        <v>0.76774202544248749</v>
      </c>
      <c r="AM125" t="str">
        <f t="shared" si="89"/>
        <v>No</v>
      </c>
      <c r="AN125" s="7" t="str">
        <f t="shared" si="90"/>
        <v/>
      </c>
      <c r="AP125">
        <f t="shared" si="91"/>
        <v>0</v>
      </c>
      <c r="AQ125" t="str">
        <f t="shared" ca="1" si="92"/>
        <v/>
      </c>
    </row>
    <row r="126" spans="1:43" x14ac:dyDescent="0.3">
      <c r="A126" t="s">
        <v>40</v>
      </c>
      <c r="B126" t="s">
        <v>231</v>
      </c>
      <c r="C126" t="s">
        <v>232</v>
      </c>
      <c r="D126" t="s">
        <v>421</v>
      </c>
      <c r="H126" t="s">
        <v>45</v>
      </c>
      <c r="I126" t="s">
        <v>45</v>
      </c>
      <c r="J126" t="s">
        <v>45</v>
      </c>
      <c r="O126">
        <v>9</v>
      </c>
      <c r="P126">
        <v>60</v>
      </c>
      <c r="Q126" t="s">
        <v>414</v>
      </c>
      <c r="S126" t="s">
        <v>417</v>
      </c>
      <c r="T126" t="s">
        <v>190</v>
      </c>
      <c r="U126" t="s">
        <v>415</v>
      </c>
      <c r="V126" t="s">
        <v>48</v>
      </c>
      <c r="W126">
        <v>60</v>
      </c>
      <c r="X126" t="s">
        <v>416</v>
      </c>
      <c r="Y126">
        <v>8</v>
      </c>
      <c r="AC126">
        <v>12.67</v>
      </c>
      <c r="AD126">
        <v>-11.62</v>
      </c>
      <c r="AE126" t="str">
        <f t="shared" ca="1" si="87"/>
        <v/>
      </c>
      <c r="AL126" s="5">
        <f t="shared" ca="1" si="88"/>
        <v>0.76774202544248749</v>
      </c>
      <c r="AM126" t="str">
        <f t="shared" si="89"/>
        <v>No</v>
      </c>
      <c r="AN126" s="7" t="str">
        <f t="shared" si="90"/>
        <v/>
      </c>
      <c r="AP126">
        <f t="shared" si="91"/>
        <v>0</v>
      </c>
      <c r="AQ126" t="str">
        <f t="shared" ca="1" si="92"/>
        <v/>
      </c>
    </row>
    <row r="127" spans="1:43" x14ac:dyDescent="0.3">
      <c r="A127" t="s">
        <v>40</v>
      </c>
      <c r="B127" t="s">
        <v>85</v>
      </c>
      <c r="C127" t="s">
        <v>412</v>
      </c>
      <c r="D127" t="s">
        <v>395</v>
      </c>
      <c r="I127" t="s">
        <v>45</v>
      </c>
      <c r="J127" t="s">
        <v>45</v>
      </c>
      <c r="K127" t="s">
        <v>45</v>
      </c>
      <c r="O127">
        <v>20</v>
      </c>
      <c r="P127">
        <v>20</v>
      </c>
      <c r="Q127" t="s">
        <v>414</v>
      </c>
      <c r="S127" t="s">
        <v>417</v>
      </c>
      <c r="T127" t="s">
        <v>54</v>
      </c>
      <c r="U127" t="s">
        <v>415</v>
      </c>
      <c r="V127" t="s">
        <v>416</v>
      </c>
      <c r="W127">
        <v>20</v>
      </c>
      <c r="X127" t="s">
        <v>416</v>
      </c>
      <c r="Y127">
        <v>10</v>
      </c>
      <c r="AC127">
        <v>16.7</v>
      </c>
      <c r="AD127">
        <v>36.46</v>
      </c>
      <c r="AE127" t="str">
        <f t="shared" ca="1" si="87"/>
        <v/>
      </c>
      <c r="AL127" s="5">
        <f t="shared" ca="1" si="88"/>
        <v>0.76774202544248749</v>
      </c>
      <c r="AM127" t="str">
        <f t="shared" si="89"/>
        <v>No</v>
      </c>
      <c r="AN127" s="7" t="str">
        <f t="shared" si="90"/>
        <v/>
      </c>
      <c r="AP127">
        <f t="shared" si="91"/>
        <v>0</v>
      </c>
      <c r="AQ127" t="str">
        <f t="shared" ca="1" si="92"/>
        <v/>
      </c>
    </row>
    <row r="128" spans="1:43" x14ac:dyDescent="0.3">
      <c r="A128" t="s">
        <v>40</v>
      </c>
      <c r="B128" t="s">
        <v>90</v>
      </c>
      <c r="C128" t="s">
        <v>91</v>
      </c>
      <c r="D128" t="s">
        <v>395</v>
      </c>
      <c r="I128" t="s">
        <v>45</v>
      </c>
      <c r="J128" t="s">
        <v>45</v>
      </c>
      <c r="K128" t="s">
        <v>45</v>
      </c>
      <c r="O128">
        <v>35</v>
      </c>
      <c r="P128">
        <v>90</v>
      </c>
      <c r="Q128" t="s">
        <v>414</v>
      </c>
      <c r="S128" t="s">
        <v>417</v>
      </c>
      <c r="T128" t="s">
        <v>46</v>
      </c>
      <c r="U128" t="s">
        <v>48</v>
      </c>
      <c r="V128" t="s">
        <v>389</v>
      </c>
      <c r="W128">
        <v>90</v>
      </c>
      <c r="X128" t="s">
        <v>416</v>
      </c>
      <c r="Y128">
        <v>8</v>
      </c>
      <c r="AC128">
        <v>18.309999999999999</v>
      </c>
      <c r="AD128">
        <v>-13.78</v>
      </c>
      <c r="AE128" t="str">
        <f t="shared" ca="1" si="87"/>
        <v/>
      </c>
      <c r="AL128" s="5">
        <f t="shared" ca="1" si="88"/>
        <v>0.76774202544248749</v>
      </c>
      <c r="AM128" t="str">
        <f t="shared" si="89"/>
        <v>No</v>
      </c>
      <c r="AN128" s="7" t="str">
        <f t="shared" si="90"/>
        <v/>
      </c>
      <c r="AP128">
        <f t="shared" si="91"/>
        <v>0</v>
      </c>
      <c r="AQ128" t="str">
        <f t="shared" ca="1" si="92"/>
        <v/>
      </c>
    </row>
    <row r="129" spans="1:43" hidden="1" x14ac:dyDescent="0.3">
      <c r="A129" t="s">
        <v>240</v>
      </c>
      <c r="B129" t="s">
        <v>294</v>
      </c>
      <c r="C129" t="s">
        <v>295</v>
      </c>
      <c r="D129" t="s">
        <v>136</v>
      </c>
      <c r="E129" t="s">
        <v>44</v>
      </c>
      <c r="G129" t="s">
        <v>45</v>
      </c>
      <c r="H129" t="s">
        <v>45</v>
      </c>
      <c r="I129" t="s">
        <v>45</v>
      </c>
      <c r="R129" t="s">
        <v>45</v>
      </c>
      <c r="S129">
        <v>40</v>
      </c>
      <c r="T129">
        <v>30</v>
      </c>
      <c r="V129" t="s">
        <v>382</v>
      </c>
      <c r="X129" t="str">
        <f>IF(S129="", "", IF(S129&gt;78,"Yes","No"))</f>
        <v>No</v>
      </c>
      <c r="Y129" t="s">
        <v>46</v>
      </c>
      <c r="Z129" t="s">
        <v>47</v>
      </c>
      <c r="AA129" t="s">
        <v>48</v>
      </c>
      <c r="AB129">
        <f>IF(Y129="Emission Nebula",90,IF(Y129="Reflection Nebula",75,IF(Y129="Planetary Nebula",60,IF(Y129="Galaxy",90,IF(Y129="Globular Cluster",30,IF(Y129="Open Cluster",20,IF(Y129="Comet",20,IF(Y129="Planet",10,IF(Y129="Star",5,45)))))))))</f>
        <v>90</v>
      </c>
      <c r="AC129" t="s">
        <v>49</v>
      </c>
      <c r="AD129">
        <f>MAX(1,MIN(10,ROUND((IF(S129="",5,IF(S129&lt;3,2,IF(S129&lt;10,4,IF(S129&lt;=70,8,IF(S129&lt;=100,6,4))))))+IF(Y129="Emission Nebula",2,IF(Y129="Open Cluster",2,IF(Y129="Globular Cluster",2,IF(Y129="Reflection Nebula",1,IF(Y129="Planetary Nebula",1,IF(Y129="Comet",1,0))))))+IF(Z129="High (easy)",2,IF(Z129="Medium",1,IF(Z129="Low (hard)",-1,0)))+IF(AA129="High (OK with Moon)",2,IF(AA129="Medium",0,IF(AA129="Low (needs dark)",-2,0)))+IF(AC129="High (best &gt;50°)",1,IF(AC129="Medium",0,IF(AC129="Low (OK)",-1,0))),0)))</f>
        <v>10</v>
      </c>
      <c r="AE129" t="str">
        <f ca="1">IF(AND(CHOOSE(MONTH(TODAY()),G129,H129,I129,J129,K129,L129,M129,N129,O129,P129,Q129,R129)="✔",AD129&gt;=7,OR(V129&lt;&gt;"No",V129=""),OR(X129="No",X129="")),"⭐ PICK","")</f>
        <v>⭐ PICK</v>
      </c>
      <c r="AI129">
        <v>12.893333333333331</v>
      </c>
      <c r="AJ129">
        <v>-60.333333333333343</v>
      </c>
    </row>
    <row r="130" spans="1:43" hidden="1" x14ac:dyDescent="0.3">
      <c r="A130" t="s">
        <v>240</v>
      </c>
      <c r="B130" t="s">
        <v>249</v>
      </c>
      <c r="C130" t="s">
        <v>250</v>
      </c>
      <c r="D130" t="s">
        <v>136</v>
      </c>
      <c r="E130" t="s">
        <v>44</v>
      </c>
      <c r="G130" t="s">
        <v>45</v>
      </c>
      <c r="H130" t="s">
        <v>45</v>
      </c>
      <c r="I130" t="s">
        <v>45</v>
      </c>
      <c r="R130" t="s">
        <v>45</v>
      </c>
      <c r="S130">
        <v>24</v>
      </c>
      <c r="T130">
        <v>20</v>
      </c>
      <c r="V130" t="s">
        <v>384</v>
      </c>
      <c r="X130" t="str">
        <f>IF(S130="", "", IF(S130&gt;78,"Yes","No"))</f>
        <v>No</v>
      </c>
      <c r="Y130" t="s">
        <v>70</v>
      </c>
      <c r="AB130">
        <f>IF(Y130="Emission Nebula",90,IF(Y130="Reflection Nebula",75,IF(Y130="Planetary Nebula",60,IF(Y130="Galaxy",90,IF(Y130="Globular Cluster",30,IF(Y130="Open Cluster",20,IF(Y130="Comet",20,IF(Y130="Planet",10,IF(Y130="Star",5,45)))))))))</f>
        <v>20</v>
      </c>
      <c r="AD130">
        <f>MAX(1,MIN(10,ROUND((IF(S130="",5,IF(S130&lt;3,2,IF(S130&lt;10,4,IF(S130&lt;=70,8,IF(S130&lt;=100,6,4))))))+IF(Y130="Emission Nebula",2,IF(Y130="Open Cluster",2,IF(Y130="Globular Cluster",2,IF(Y130="Reflection Nebula",1,IF(Y130="Planetary Nebula",1,IF(Y130="Comet",1,0))))))+IF(Z130="High (easy)",2,IF(Z130="Medium",1,IF(Z130="Low (hard)",-1,0)))+IF(AA130="High (OK with Moon)",2,IF(AA130="Medium",0,IF(AA130="Low (needs dark)",-2,0)))+IF(AC130="High (best &gt;50°)",1,IF(AC130="Medium",0,IF(AC130="Low (OK)",-1,0))),0)))</f>
        <v>10</v>
      </c>
      <c r="AE130" t="str">
        <f ca="1">IF(AND(CHOOSE(MONTH(TODAY()),G130,H130,I130,J130,K130,L130,M130,N130,O130,P130,Q130,R130)="✔",AD130&gt;=7,OR(V130&lt;&gt;"No",V130=""),OR(X130="No",X130="")),"⭐ PICK","")</f>
        <v>⭐ PICK</v>
      </c>
      <c r="AI130">
        <v>15.265000000000001</v>
      </c>
      <c r="AJ130">
        <v>56.31666666666667</v>
      </c>
    </row>
    <row r="131" spans="1:43" x14ac:dyDescent="0.3">
      <c r="A131" t="s">
        <v>40</v>
      </c>
      <c r="B131" t="s">
        <v>92</v>
      </c>
      <c r="C131" t="s">
        <v>93</v>
      </c>
      <c r="D131" t="s">
        <v>395</v>
      </c>
      <c r="I131" t="s">
        <v>45</v>
      </c>
      <c r="J131" t="s">
        <v>45</v>
      </c>
      <c r="K131" t="s">
        <v>45</v>
      </c>
      <c r="O131">
        <v>46</v>
      </c>
      <c r="P131">
        <v>60</v>
      </c>
      <c r="Q131" t="s">
        <v>414</v>
      </c>
      <c r="S131" t="s">
        <v>417</v>
      </c>
      <c r="T131" t="s">
        <v>46</v>
      </c>
      <c r="U131" t="s">
        <v>415</v>
      </c>
      <c r="V131" t="s">
        <v>48</v>
      </c>
      <c r="W131">
        <v>60</v>
      </c>
      <c r="X131" t="s">
        <v>416</v>
      </c>
      <c r="Y131">
        <v>9</v>
      </c>
      <c r="AC131">
        <v>18.329999999999998</v>
      </c>
      <c r="AD131">
        <v>-16.18</v>
      </c>
      <c r="AE131" t="str">
        <f t="shared" ref="AE131:AE152" ca="1" si="93">IF(AND(CHOOSE(MONTH(TODAY()),G131,H131,I131,J131,K131,L131,M131,N131,O131,P131,Q131,R131)="✔",AD131&gt;=7,AM131="Yes",AO131&gt;=50,OR(X131="No",X131=""),OR(E131="No",V131="Yes")),"⭐ PICK","")</f>
        <v/>
      </c>
      <c r="AL131" s="5">
        <f t="shared" ref="AL131:AL152" ca="1" si="94">IFERROR(MOD((AI131-(MOD(18.697374558+24.065709824419*(TODAY()-DATE(2000,1,1)+0.5)+$AZ$1/15,24)))/1.00273790935,24)/24,"")</f>
        <v>0.76774202544248749</v>
      </c>
      <c r="AM131" t="str">
        <f t="shared" ref="AM131:AM152" si="95">IF(AO131&gt;=20,"Yes","No")</f>
        <v>No</v>
      </c>
      <c r="AN131" s="7" t="str">
        <f t="shared" ref="AN131:AN152" si="96">IF(AM131="Yes",TEXT(AL131,"h:mm AM/PM"),"")</f>
        <v/>
      </c>
      <c r="AP131">
        <f t="shared" ref="AP131:AP152" si="97">ROUND(MAX(0,MIN(10,(AO131-20)/6)),1)</f>
        <v>0</v>
      </c>
      <c r="AQ131" t="str">
        <f t="shared" ref="AQ131:AQ152" ca="1" si="98">IF(AE131="⭐ PICK","PICK at "&amp;AN131,"")</f>
        <v/>
      </c>
    </row>
    <row r="132" spans="1:43" x14ac:dyDescent="0.3">
      <c r="A132" t="s">
        <v>40</v>
      </c>
      <c r="B132" t="s">
        <v>96</v>
      </c>
      <c r="C132" t="s">
        <v>97</v>
      </c>
      <c r="D132" t="s">
        <v>395</v>
      </c>
      <c r="I132" t="s">
        <v>45</v>
      </c>
      <c r="J132" t="s">
        <v>45</v>
      </c>
      <c r="K132" t="s">
        <v>45</v>
      </c>
      <c r="O132">
        <v>28</v>
      </c>
      <c r="P132">
        <v>90</v>
      </c>
      <c r="Q132" t="s">
        <v>414</v>
      </c>
      <c r="S132" t="s">
        <v>417</v>
      </c>
      <c r="T132" t="s">
        <v>411</v>
      </c>
      <c r="U132" t="s">
        <v>48</v>
      </c>
      <c r="V132" t="s">
        <v>389</v>
      </c>
      <c r="W132">
        <v>90</v>
      </c>
      <c r="X132" t="s">
        <v>416</v>
      </c>
      <c r="Y132">
        <v>8</v>
      </c>
      <c r="AC132">
        <v>18.04</v>
      </c>
      <c r="AD132">
        <v>-23.02</v>
      </c>
      <c r="AE132" t="str">
        <f t="shared" ca="1" si="93"/>
        <v/>
      </c>
      <c r="AL132" s="5">
        <f t="shared" ca="1" si="94"/>
        <v>0.76774202544248749</v>
      </c>
      <c r="AM132" t="str">
        <f t="shared" si="95"/>
        <v>No</v>
      </c>
      <c r="AN132" s="7" t="str">
        <f t="shared" si="96"/>
        <v/>
      </c>
      <c r="AP132">
        <f t="shared" si="97"/>
        <v>0</v>
      </c>
      <c r="AQ132" t="str">
        <f t="shared" ca="1" si="98"/>
        <v/>
      </c>
    </row>
    <row r="133" spans="1:43" x14ac:dyDescent="0.3">
      <c r="A133" t="s">
        <v>40</v>
      </c>
      <c r="B133" t="s">
        <v>107</v>
      </c>
      <c r="C133" t="s">
        <v>108</v>
      </c>
      <c r="D133" t="s">
        <v>395</v>
      </c>
      <c r="I133" t="s">
        <v>45</v>
      </c>
      <c r="J133" t="s">
        <v>45</v>
      </c>
      <c r="K133" t="s">
        <v>45</v>
      </c>
      <c r="O133">
        <v>8</v>
      </c>
      <c r="P133">
        <v>45</v>
      </c>
      <c r="Q133" t="s">
        <v>414</v>
      </c>
      <c r="S133" t="s">
        <v>417</v>
      </c>
      <c r="T133" t="s">
        <v>167</v>
      </c>
      <c r="U133" t="s">
        <v>415</v>
      </c>
      <c r="V133" t="s">
        <v>48</v>
      </c>
      <c r="W133">
        <v>45</v>
      </c>
      <c r="X133" t="s">
        <v>416</v>
      </c>
      <c r="Y133">
        <v>9</v>
      </c>
      <c r="AC133">
        <v>19.989999999999998</v>
      </c>
      <c r="AD133">
        <v>22.72</v>
      </c>
      <c r="AE133" t="str">
        <f t="shared" ca="1" si="93"/>
        <v/>
      </c>
      <c r="AL133" s="5">
        <f t="shared" ca="1" si="94"/>
        <v>0.76774202544248749</v>
      </c>
      <c r="AM133" t="str">
        <f t="shared" si="95"/>
        <v>No</v>
      </c>
      <c r="AN133" s="7" t="str">
        <f t="shared" si="96"/>
        <v/>
      </c>
      <c r="AP133">
        <f t="shared" si="97"/>
        <v>0</v>
      </c>
      <c r="AQ133" t="str">
        <f t="shared" ca="1" si="98"/>
        <v/>
      </c>
    </row>
    <row r="134" spans="1:43" x14ac:dyDescent="0.3">
      <c r="A134" t="s">
        <v>40</v>
      </c>
      <c r="B134" t="s">
        <v>113</v>
      </c>
      <c r="C134" t="s">
        <v>114</v>
      </c>
      <c r="D134" t="s">
        <v>419</v>
      </c>
      <c r="K134" t="s">
        <v>45</v>
      </c>
      <c r="L134" t="s">
        <v>45</v>
      </c>
      <c r="M134" t="s">
        <v>45</v>
      </c>
      <c r="N134" t="s">
        <v>45</v>
      </c>
      <c r="O134">
        <v>190</v>
      </c>
      <c r="P134">
        <v>60</v>
      </c>
      <c r="Q134" t="s">
        <v>414</v>
      </c>
      <c r="R134" t="s">
        <v>45</v>
      </c>
      <c r="S134" t="s">
        <v>45</v>
      </c>
      <c r="T134" t="s">
        <v>190</v>
      </c>
      <c r="U134" t="s">
        <v>415</v>
      </c>
      <c r="V134" t="s">
        <v>48</v>
      </c>
      <c r="W134">
        <v>60</v>
      </c>
      <c r="X134" t="s">
        <v>416</v>
      </c>
      <c r="Y134">
        <v>10</v>
      </c>
      <c r="AC134">
        <v>0.71</v>
      </c>
      <c r="AD134">
        <v>41.27</v>
      </c>
      <c r="AE134" t="str">
        <f t="shared" ca="1" si="93"/>
        <v/>
      </c>
      <c r="AL134" s="5">
        <f t="shared" ca="1" si="94"/>
        <v>0.76774202544248749</v>
      </c>
      <c r="AM134" t="str">
        <f t="shared" si="95"/>
        <v>No</v>
      </c>
      <c r="AN134" s="7" t="str">
        <f t="shared" si="96"/>
        <v/>
      </c>
      <c r="AP134">
        <f t="shared" si="97"/>
        <v>0</v>
      </c>
      <c r="AQ134" t="str">
        <f t="shared" ca="1" si="98"/>
        <v/>
      </c>
    </row>
    <row r="135" spans="1:43" x14ac:dyDescent="0.3">
      <c r="A135" t="s">
        <v>40</v>
      </c>
      <c r="B135" t="s">
        <v>120</v>
      </c>
      <c r="C135" t="s">
        <v>121</v>
      </c>
      <c r="D135" t="s">
        <v>419</v>
      </c>
      <c r="K135" t="s">
        <v>45</v>
      </c>
      <c r="L135" t="s">
        <v>45</v>
      </c>
      <c r="M135" t="s">
        <v>45</v>
      </c>
      <c r="N135" t="s">
        <v>45</v>
      </c>
      <c r="O135">
        <v>70</v>
      </c>
      <c r="P135">
        <v>90</v>
      </c>
      <c r="Q135" t="s">
        <v>414</v>
      </c>
      <c r="R135" t="s">
        <v>45</v>
      </c>
      <c r="S135" t="s">
        <v>45</v>
      </c>
      <c r="T135" t="s">
        <v>190</v>
      </c>
      <c r="U135" t="s">
        <v>420</v>
      </c>
      <c r="V135" t="s">
        <v>389</v>
      </c>
      <c r="W135">
        <v>120</v>
      </c>
      <c r="X135" t="s">
        <v>48</v>
      </c>
      <c r="Y135">
        <v>8</v>
      </c>
      <c r="AC135">
        <v>1.55</v>
      </c>
      <c r="AD135">
        <v>30.66</v>
      </c>
      <c r="AE135" t="str">
        <f t="shared" ca="1" si="93"/>
        <v/>
      </c>
      <c r="AL135" s="5">
        <f t="shared" ca="1" si="94"/>
        <v>0.76774202544248749</v>
      </c>
      <c r="AM135" t="str">
        <f t="shared" si="95"/>
        <v>No</v>
      </c>
      <c r="AN135" s="7" t="str">
        <f t="shared" si="96"/>
        <v/>
      </c>
      <c r="AP135">
        <f t="shared" si="97"/>
        <v>0</v>
      </c>
      <c r="AQ135" t="str">
        <f t="shared" ca="1" si="98"/>
        <v/>
      </c>
    </row>
    <row r="136" spans="1:43" x14ac:dyDescent="0.3">
      <c r="A136" t="s">
        <v>40</v>
      </c>
      <c r="B136" t="s">
        <v>134</v>
      </c>
      <c r="C136" t="s">
        <v>135</v>
      </c>
      <c r="D136" t="s">
        <v>387</v>
      </c>
      <c r="G136" t="s">
        <v>45</v>
      </c>
      <c r="H136" t="s">
        <v>45</v>
      </c>
      <c r="I136" t="s">
        <v>45</v>
      </c>
      <c r="O136" t="s">
        <v>45</v>
      </c>
      <c r="P136" t="s">
        <v>45</v>
      </c>
      <c r="Q136" t="s">
        <v>45</v>
      </c>
      <c r="R136">
        <v>85</v>
      </c>
      <c r="S136">
        <v>30</v>
      </c>
      <c r="T136" t="s">
        <v>414</v>
      </c>
      <c r="V136" t="s">
        <v>413</v>
      </c>
      <c r="W136" t="s">
        <v>46</v>
      </c>
      <c r="X136" t="s">
        <v>415</v>
      </c>
      <c r="Y136" t="s">
        <v>389</v>
      </c>
      <c r="Z136">
        <v>30</v>
      </c>
      <c r="AA136" t="s">
        <v>416</v>
      </c>
      <c r="AB136">
        <v>10</v>
      </c>
      <c r="AE136" t="str">
        <f t="shared" ca="1" si="93"/>
        <v/>
      </c>
      <c r="AF136">
        <v>5.59</v>
      </c>
      <c r="AG136">
        <v>-5.45</v>
      </c>
      <c r="AH136" t="s">
        <v>6</v>
      </c>
      <c r="AL136" s="5">
        <f t="shared" ca="1" si="94"/>
        <v>0.76774202544248749</v>
      </c>
      <c r="AM136" t="str">
        <f t="shared" si="95"/>
        <v>No</v>
      </c>
      <c r="AN136" s="7" t="str">
        <f t="shared" si="96"/>
        <v/>
      </c>
      <c r="AP136">
        <f t="shared" si="97"/>
        <v>0</v>
      </c>
      <c r="AQ136" t="str">
        <f t="shared" ca="1" si="98"/>
        <v/>
      </c>
    </row>
    <row r="137" spans="1:43" x14ac:dyDescent="0.3">
      <c r="A137" t="s">
        <v>40</v>
      </c>
      <c r="B137" t="s">
        <v>137</v>
      </c>
      <c r="C137" t="s">
        <v>138</v>
      </c>
      <c r="D137" t="s">
        <v>387</v>
      </c>
      <c r="G137" t="s">
        <v>45</v>
      </c>
      <c r="H137" t="s">
        <v>45</v>
      </c>
      <c r="I137" t="s">
        <v>45</v>
      </c>
      <c r="O137" t="s">
        <v>45</v>
      </c>
      <c r="P137" t="s">
        <v>45</v>
      </c>
      <c r="Q137" t="s">
        <v>45</v>
      </c>
      <c r="R137">
        <v>20</v>
      </c>
      <c r="S137">
        <v>30</v>
      </c>
      <c r="T137" t="s">
        <v>414</v>
      </c>
      <c r="V137" t="s">
        <v>417</v>
      </c>
      <c r="W137" t="s">
        <v>46</v>
      </c>
      <c r="X137" t="s">
        <v>415</v>
      </c>
      <c r="Y137" t="s">
        <v>389</v>
      </c>
      <c r="Z137">
        <v>30</v>
      </c>
      <c r="AA137" t="s">
        <v>416</v>
      </c>
      <c r="AB137">
        <v>8</v>
      </c>
      <c r="AE137" t="str">
        <f t="shared" ca="1" si="93"/>
        <v/>
      </c>
      <c r="AF137">
        <v>5.59</v>
      </c>
      <c r="AG137">
        <v>-5.27</v>
      </c>
      <c r="AH137" t="s">
        <v>6</v>
      </c>
      <c r="AL137" s="5">
        <f t="shared" ca="1" si="94"/>
        <v>0.76774202544248749</v>
      </c>
      <c r="AM137" t="str">
        <f t="shared" si="95"/>
        <v>No</v>
      </c>
      <c r="AN137" s="7" t="str">
        <f t="shared" si="96"/>
        <v/>
      </c>
      <c r="AP137">
        <f t="shared" si="97"/>
        <v>0</v>
      </c>
      <c r="AQ137" t="str">
        <f t="shared" ca="1" si="98"/>
        <v/>
      </c>
    </row>
    <row r="138" spans="1:43" x14ac:dyDescent="0.3">
      <c r="A138" t="s">
        <v>40</v>
      </c>
      <c r="B138" t="s">
        <v>142</v>
      </c>
      <c r="C138" t="s">
        <v>143</v>
      </c>
      <c r="D138" t="s">
        <v>387</v>
      </c>
      <c r="G138" t="s">
        <v>45</v>
      </c>
      <c r="H138" t="s">
        <v>45</v>
      </c>
      <c r="I138" t="s">
        <v>45</v>
      </c>
      <c r="O138" t="s">
        <v>45</v>
      </c>
      <c r="P138" t="s">
        <v>45</v>
      </c>
      <c r="Q138" t="s">
        <v>45</v>
      </c>
      <c r="R138">
        <v>110</v>
      </c>
      <c r="S138">
        <v>20</v>
      </c>
      <c r="T138" t="s">
        <v>414</v>
      </c>
      <c r="V138" t="s">
        <v>413</v>
      </c>
      <c r="W138" t="s">
        <v>418</v>
      </c>
      <c r="X138" t="s">
        <v>415</v>
      </c>
      <c r="Y138" t="s">
        <v>48</v>
      </c>
      <c r="Z138">
        <v>20</v>
      </c>
      <c r="AA138" t="s">
        <v>416</v>
      </c>
      <c r="AB138">
        <v>9</v>
      </c>
      <c r="AE138" t="str">
        <f t="shared" ca="1" si="93"/>
        <v/>
      </c>
      <c r="AF138">
        <v>3.79</v>
      </c>
      <c r="AG138">
        <v>24.12</v>
      </c>
      <c r="AH138" t="s">
        <v>17</v>
      </c>
      <c r="AL138" s="5">
        <f t="shared" ca="1" si="94"/>
        <v>0.76774202544248749</v>
      </c>
      <c r="AM138" t="str">
        <f t="shared" si="95"/>
        <v>No</v>
      </c>
      <c r="AN138" s="7" t="str">
        <f t="shared" si="96"/>
        <v/>
      </c>
      <c r="AP138">
        <f t="shared" si="97"/>
        <v>0</v>
      </c>
      <c r="AQ138" t="str">
        <f t="shared" ca="1" si="98"/>
        <v/>
      </c>
    </row>
    <row r="139" spans="1:43" x14ac:dyDescent="0.3">
      <c r="A139" t="s">
        <v>40</v>
      </c>
      <c r="B139" t="s">
        <v>156</v>
      </c>
      <c r="C139" t="s">
        <v>157</v>
      </c>
      <c r="D139" t="s">
        <v>421</v>
      </c>
      <c r="H139" t="s">
        <v>45</v>
      </c>
      <c r="I139" t="s">
        <v>45</v>
      </c>
      <c r="J139" t="s">
        <v>45</v>
      </c>
      <c r="O139">
        <v>11</v>
      </c>
      <c r="P139">
        <v>90</v>
      </c>
      <c r="Q139" t="s">
        <v>414</v>
      </c>
      <c r="S139" t="s">
        <v>417</v>
      </c>
      <c r="T139" t="s">
        <v>190</v>
      </c>
      <c r="U139" t="s">
        <v>48</v>
      </c>
      <c r="V139" t="s">
        <v>389</v>
      </c>
      <c r="W139">
        <v>120</v>
      </c>
      <c r="X139" t="s">
        <v>416</v>
      </c>
      <c r="Y139">
        <v>8</v>
      </c>
      <c r="AC139">
        <v>13.49</v>
      </c>
      <c r="AD139">
        <v>47.2</v>
      </c>
      <c r="AE139" t="str">
        <f t="shared" ca="1" si="93"/>
        <v/>
      </c>
      <c r="AL139" s="5">
        <f t="shared" ca="1" si="94"/>
        <v>0.76774202544248749</v>
      </c>
      <c r="AM139" t="str">
        <f t="shared" si="95"/>
        <v>No</v>
      </c>
      <c r="AN139" s="7" t="str">
        <f t="shared" si="96"/>
        <v/>
      </c>
      <c r="AP139">
        <f t="shared" si="97"/>
        <v>0</v>
      </c>
      <c r="AQ139" t="str">
        <f t="shared" ca="1" si="98"/>
        <v/>
      </c>
    </row>
    <row r="140" spans="1:43" x14ac:dyDescent="0.3">
      <c r="A140" t="s">
        <v>40</v>
      </c>
      <c r="B140" t="s">
        <v>165</v>
      </c>
      <c r="C140" t="s">
        <v>166</v>
      </c>
      <c r="D140" t="s">
        <v>395</v>
      </c>
      <c r="I140" t="s">
        <v>45</v>
      </c>
      <c r="J140" t="s">
        <v>45</v>
      </c>
      <c r="K140" t="s">
        <v>45</v>
      </c>
      <c r="O140">
        <v>1.5</v>
      </c>
      <c r="P140">
        <v>45</v>
      </c>
      <c r="Q140" t="s">
        <v>414</v>
      </c>
      <c r="S140" t="s">
        <v>417</v>
      </c>
      <c r="T140" t="s">
        <v>167</v>
      </c>
      <c r="U140" t="s">
        <v>415</v>
      </c>
      <c r="V140" t="s">
        <v>416</v>
      </c>
      <c r="W140">
        <v>45</v>
      </c>
      <c r="X140" t="s">
        <v>416</v>
      </c>
      <c r="Y140">
        <v>8</v>
      </c>
      <c r="AC140">
        <v>18.89</v>
      </c>
      <c r="AD140">
        <v>33.03</v>
      </c>
      <c r="AE140" t="str">
        <f t="shared" ca="1" si="93"/>
        <v/>
      </c>
      <c r="AL140" s="5">
        <f t="shared" ca="1" si="94"/>
        <v>0.76774202544248749</v>
      </c>
      <c r="AM140" t="str">
        <f t="shared" si="95"/>
        <v>No</v>
      </c>
      <c r="AN140" s="7" t="str">
        <f t="shared" si="96"/>
        <v/>
      </c>
      <c r="AP140">
        <f t="shared" si="97"/>
        <v>0</v>
      </c>
      <c r="AQ140" t="str">
        <f t="shared" ca="1" si="98"/>
        <v/>
      </c>
    </row>
    <row r="141" spans="1:43" x14ac:dyDescent="0.3">
      <c r="A141" t="s">
        <v>40</v>
      </c>
      <c r="B141" t="s">
        <v>74</v>
      </c>
      <c r="C141" t="s">
        <v>75</v>
      </c>
      <c r="D141" t="s">
        <v>395</v>
      </c>
      <c r="I141" t="s">
        <v>45</v>
      </c>
      <c r="J141" t="s">
        <v>45</v>
      </c>
      <c r="K141" t="s">
        <v>45</v>
      </c>
      <c r="O141">
        <v>90</v>
      </c>
      <c r="P141">
        <v>60</v>
      </c>
      <c r="Q141" t="s">
        <v>414</v>
      </c>
      <c r="S141" t="s">
        <v>417</v>
      </c>
      <c r="T141" t="s">
        <v>46</v>
      </c>
      <c r="U141" t="s">
        <v>415</v>
      </c>
      <c r="V141" t="s">
        <v>48</v>
      </c>
      <c r="W141">
        <v>60</v>
      </c>
      <c r="X141" t="s">
        <v>416</v>
      </c>
      <c r="Y141">
        <v>9</v>
      </c>
      <c r="AC141">
        <v>18.05</v>
      </c>
      <c r="AD141">
        <v>-24.38</v>
      </c>
      <c r="AE141" t="str">
        <f t="shared" ca="1" si="93"/>
        <v/>
      </c>
      <c r="AL141" s="5">
        <f t="shared" ca="1" si="94"/>
        <v>0.76774202544248749</v>
      </c>
      <c r="AM141" t="str">
        <f t="shared" si="95"/>
        <v>No</v>
      </c>
      <c r="AN141" s="7" t="str">
        <f t="shared" si="96"/>
        <v/>
      </c>
      <c r="AP141">
        <f t="shared" si="97"/>
        <v>0</v>
      </c>
      <c r="AQ141" t="str">
        <f t="shared" ca="1" si="98"/>
        <v/>
      </c>
    </row>
    <row r="142" spans="1:43" x14ac:dyDescent="0.3">
      <c r="A142" t="s">
        <v>240</v>
      </c>
      <c r="B142" t="s">
        <v>326</v>
      </c>
      <c r="C142" t="s">
        <v>327</v>
      </c>
      <c r="D142" t="s">
        <v>399</v>
      </c>
      <c r="E142" t="s">
        <v>57</v>
      </c>
      <c r="G142" t="s">
        <v>45</v>
      </c>
      <c r="H142" t="s">
        <v>45</v>
      </c>
      <c r="I142" t="s">
        <v>45</v>
      </c>
      <c r="S142">
        <v>60</v>
      </c>
      <c r="T142">
        <v>180</v>
      </c>
      <c r="V142" t="s">
        <v>57</v>
      </c>
      <c r="W142">
        <v>3</v>
      </c>
      <c r="X142" t="s">
        <v>44</v>
      </c>
      <c r="Y142" t="s">
        <v>46</v>
      </c>
      <c r="Z142" t="s">
        <v>389</v>
      </c>
      <c r="AA142" t="s">
        <v>389</v>
      </c>
      <c r="AB142">
        <v>180</v>
      </c>
      <c r="AD142">
        <v>4</v>
      </c>
      <c r="AE142" t="str">
        <f t="shared" ca="1" si="93"/>
        <v/>
      </c>
      <c r="AG142" t="s">
        <v>394</v>
      </c>
      <c r="AH142" t="s">
        <v>8</v>
      </c>
      <c r="AI142">
        <v>4.0194000000000001</v>
      </c>
      <c r="AJ142" s="3">
        <v>36.46</v>
      </c>
      <c r="AK142" t="s">
        <v>8</v>
      </c>
      <c r="AL142" s="5">
        <f t="shared" ca="1" si="94"/>
        <v>0.93475974606358336</v>
      </c>
      <c r="AM142" t="str">
        <f t="shared" si="95"/>
        <v>Yes</v>
      </c>
      <c r="AN142" s="7" t="str">
        <f t="shared" ca="1" si="96"/>
        <v>10:26 PM</v>
      </c>
      <c r="AO142" s="3">
        <v>45</v>
      </c>
      <c r="AP142">
        <f t="shared" si="97"/>
        <v>4.2</v>
      </c>
      <c r="AQ142" t="str">
        <f t="shared" ca="1" si="98"/>
        <v/>
      </c>
    </row>
    <row r="143" spans="1:43" x14ac:dyDescent="0.3">
      <c r="A143" t="s">
        <v>240</v>
      </c>
      <c r="B143" t="s">
        <v>298</v>
      </c>
      <c r="C143" t="s">
        <v>299</v>
      </c>
      <c r="D143" t="s">
        <v>136</v>
      </c>
      <c r="E143" t="s">
        <v>57</v>
      </c>
      <c r="G143" t="s">
        <v>45</v>
      </c>
      <c r="H143" t="s">
        <v>45</v>
      </c>
      <c r="I143" t="s">
        <v>45</v>
      </c>
      <c r="R143" t="s">
        <v>45</v>
      </c>
      <c r="S143">
        <v>20</v>
      </c>
      <c r="X143" t="str">
        <f t="shared" ref="X143:X150" si="99">IF(S143="", "", IF(S143&gt;78,"Yes","No"))</f>
        <v>No</v>
      </c>
      <c r="Y143" t="s">
        <v>197</v>
      </c>
      <c r="Z143" t="s">
        <v>48</v>
      </c>
      <c r="AA143" t="s">
        <v>117</v>
      </c>
      <c r="AB143">
        <f t="shared" ref="AB143:AB150" si="100">IF(Y143="Emission Nebula",90,IF(Y143="Reflection Nebula",75,IF(Y143="Planetary Nebula",60,IF(Y143="Galaxy",90,IF(Y143="Globular Cluster",30,IF(Y143="Open Cluster",20,IF(Y143="Comet",20,IF(Y143="Planet",10,IF(Y143="Star",5,45)))))))))</f>
        <v>75</v>
      </c>
      <c r="AC143" t="s">
        <v>49</v>
      </c>
      <c r="AD143">
        <f t="shared" ref="AD143:AD150" si="101">MAX(1,MIN(10,ROUND((IF(S143="",5,IF(S143&lt;3,2,IF(S143&lt;10,4,IF(S143&lt;=70,8,IF(S143&lt;=100,6,4))))))+IF(Y143="Emission Nebula",2,IF(Y143="Open Cluster",2,IF(Y143="Globular Cluster",2,IF(Y143="Reflection Nebula",1,IF(Y143="Planetary Nebula",1,IF(Y143="Comet",1,0))))))+IF(Z143="High (easy)",2,IF(Z143="Medium",1,IF(Z143="Low (hard)",-1,0)))+IF(AA143="High (OK with Moon)",2,IF(AA143="Medium",0,IF(AA143="Low (needs dark)",-2,0)))+IF(AC143="High (best &gt;50°)",1,IF(AC143="Medium",0,IF(AC143="Low (OK)",-1,0))),0)))</f>
        <v>9</v>
      </c>
      <c r="AE143" t="str">
        <f t="shared" ca="1" si="93"/>
        <v/>
      </c>
      <c r="AI143">
        <v>10.08666666666667</v>
      </c>
      <c r="AJ143">
        <v>-7.7166666666666668</v>
      </c>
      <c r="AL143" s="5">
        <f t="shared" ca="1" si="94"/>
        <v>0.18687226262501563</v>
      </c>
      <c r="AM143" t="str">
        <f t="shared" si="95"/>
        <v>No</v>
      </c>
      <c r="AN143" s="7" t="str">
        <f t="shared" si="96"/>
        <v/>
      </c>
      <c r="AP143">
        <f t="shared" si="97"/>
        <v>0</v>
      </c>
      <c r="AQ143" t="str">
        <f t="shared" ca="1" si="98"/>
        <v/>
      </c>
    </row>
    <row r="144" spans="1:43" x14ac:dyDescent="0.3">
      <c r="A144" t="s">
        <v>240</v>
      </c>
      <c r="B144" t="s">
        <v>306</v>
      </c>
      <c r="C144" t="s">
        <v>307</v>
      </c>
      <c r="D144" t="s">
        <v>136</v>
      </c>
      <c r="E144" t="s">
        <v>57</v>
      </c>
      <c r="G144" t="s">
        <v>45</v>
      </c>
      <c r="H144" t="s">
        <v>45</v>
      </c>
      <c r="I144" t="s">
        <v>45</v>
      </c>
      <c r="R144" t="s">
        <v>45</v>
      </c>
      <c r="S144">
        <v>14</v>
      </c>
      <c r="X144" t="str">
        <f t="shared" si="99"/>
        <v>No</v>
      </c>
      <c r="Y144" t="s">
        <v>70</v>
      </c>
      <c r="Z144" t="s">
        <v>47</v>
      </c>
      <c r="AA144" t="s">
        <v>56</v>
      </c>
      <c r="AB144">
        <f t="shared" si="100"/>
        <v>20</v>
      </c>
      <c r="AC144" t="s">
        <v>49</v>
      </c>
      <c r="AD144">
        <f t="shared" si="101"/>
        <v>10</v>
      </c>
      <c r="AE144" t="str">
        <f t="shared" ca="1" si="93"/>
        <v/>
      </c>
      <c r="AI144">
        <v>10.41333333333333</v>
      </c>
      <c r="AJ144">
        <v>-18.633333333333329</v>
      </c>
      <c r="AL144" s="5">
        <f t="shared" ca="1" si="94"/>
        <v>0.2004462095000609</v>
      </c>
      <c r="AM144" t="str">
        <f t="shared" si="95"/>
        <v>No</v>
      </c>
      <c r="AN144" s="7" t="str">
        <f t="shared" si="96"/>
        <v/>
      </c>
      <c r="AP144">
        <f t="shared" si="97"/>
        <v>0</v>
      </c>
      <c r="AQ144" t="str">
        <f t="shared" ca="1" si="98"/>
        <v/>
      </c>
    </row>
    <row r="145" spans="1:43" x14ac:dyDescent="0.3">
      <c r="A145" t="s">
        <v>240</v>
      </c>
      <c r="B145" t="s">
        <v>308</v>
      </c>
      <c r="C145" t="s">
        <v>70</v>
      </c>
      <c r="D145" t="s">
        <v>136</v>
      </c>
      <c r="E145" t="s">
        <v>57</v>
      </c>
      <c r="G145" t="s">
        <v>45</v>
      </c>
      <c r="H145" t="s">
        <v>45</v>
      </c>
      <c r="I145" t="s">
        <v>45</v>
      </c>
      <c r="R145" t="s">
        <v>45</v>
      </c>
      <c r="S145">
        <v>28</v>
      </c>
      <c r="X145" t="str">
        <f t="shared" si="99"/>
        <v>No</v>
      </c>
      <c r="Y145" t="s">
        <v>70</v>
      </c>
      <c r="Z145" t="s">
        <v>47</v>
      </c>
      <c r="AA145" t="s">
        <v>56</v>
      </c>
      <c r="AB145">
        <f t="shared" si="100"/>
        <v>20</v>
      </c>
      <c r="AC145" t="s">
        <v>49</v>
      </c>
      <c r="AD145">
        <f t="shared" si="101"/>
        <v>10</v>
      </c>
      <c r="AE145" t="str">
        <f t="shared" ca="1" si="93"/>
        <v/>
      </c>
      <c r="AI145">
        <v>11.338333333333329</v>
      </c>
      <c r="AJ145">
        <v>13.6</v>
      </c>
      <c r="AL145" s="5">
        <f t="shared" ca="1" si="94"/>
        <v>0.23888264070235812</v>
      </c>
      <c r="AM145" t="str">
        <f t="shared" si="95"/>
        <v>No</v>
      </c>
      <c r="AN145" s="7" t="str">
        <f t="shared" si="96"/>
        <v/>
      </c>
      <c r="AP145">
        <f t="shared" si="97"/>
        <v>0</v>
      </c>
      <c r="AQ145" t="str">
        <f t="shared" ca="1" si="98"/>
        <v/>
      </c>
    </row>
    <row r="146" spans="1:43" x14ac:dyDescent="0.3">
      <c r="A146" t="s">
        <v>240</v>
      </c>
      <c r="B146" t="s">
        <v>305</v>
      </c>
      <c r="C146" t="s">
        <v>197</v>
      </c>
      <c r="D146" t="s">
        <v>136</v>
      </c>
      <c r="E146" t="s">
        <v>57</v>
      </c>
      <c r="G146" t="s">
        <v>45</v>
      </c>
      <c r="H146" t="s">
        <v>45</v>
      </c>
      <c r="I146" t="s">
        <v>45</v>
      </c>
      <c r="R146" t="s">
        <v>45</v>
      </c>
      <c r="S146">
        <v>2</v>
      </c>
      <c r="X146" t="str">
        <f t="shared" si="99"/>
        <v>No</v>
      </c>
      <c r="Y146" t="s">
        <v>197</v>
      </c>
      <c r="Z146" t="s">
        <v>48</v>
      </c>
      <c r="AA146" t="s">
        <v>117</v>
      </c>
      <c r="AB146">
        <f t="shared" si="100"/>
        <v>75</v>
      </c>
      <c r="AC146" t="s">
        <v>49</v>
      </c>
      <c r="AD146">
        <f t="shared" si="101"/>
        <v>3</v>
      </c>
      <c r="AE146" t="str">
        <f t="shared" ca="1" si="93"/>
        <v/>
      </c>
      <c r="AI146">
        <v>12.605</v>
      </c>
      <c r="AJ146">
        <v>25.983333333333331</v>
      </c>
      <c r="AL146" s="5">
        <f t="shared" ca="1" si="94"/>
        <v>0.29151631225865726</v>
      </c>
      <c r="AM146" t="str">
        <f t="shared" si="95"/>
        <v>No</v>
      </c>
      <c r="AN146" s="7" t="str">
        <f t="shared" si="96"/>
        <v/>
      </c>
      <c r="AP146">
        <f t="shared" si="97"/>
        <v>0</v>
      </c>
      <c r="AQ146" t="str">
        <f t="shared" ca="1" si="98"/>
        <v/>
      </c>
    </row>
    <row r="147" spans="1:43" x14ac:dyDescent="0.3">
      <c r="A147" t="s">
        <v>240</v>
      </c>
      <c r="B147" t="s">
        <v>296</v>
      </c>
      <c r="C147" t="s">
        <v>297</v>
      </c>
      <c r="D147" t="s">
        <v>136</v>
      </c>
      <c r="E147" t="s">
        <v>57</v>
      </c>
      <c r="G147" t="s">
        <v>45</v>
      </c>
      <c r="H147" t="s">
        <v>45</v>
      </c>
      <c r="I147" t="s">
        <v>45</v>
      </c>
      <c r="R147" t="s">
        <v>45</v>
      </c>
      <c r="S147">
        <v>30</v>
      </c>
      <c r="X147" t="str">
        <f t="shared" si="99"/>
        <v>No</v>
      </c>
      <c r="Y147" t="s">
        <v>46</v>
      </c>
      <c r="Z147" t="s">
        <v>47</v>
      </c>
      <c r="AA147" t="s">
        <v>48</v>
      </c>
      <c r="AB147">
        <f t="shared" si="100"/>
        <v>90</v>
      </c>
      <c r="AC147" t="s">
        <v>49</v>
      </c>
      <c r="AD147">
        <f t="shared" si="101"/>
        <v>10</v>
      </c>
      <c r="AE147" t="str">
        <f t="shared" ca="1" si="93"/>
        <v/>
      </c>
      <c r="AI147">
        <v>12.70166666666667</v>
      </c>
      <c r="AJ147">
        <v>32.533333333333331</v>
      </c>
      <c r="AL147" s="5">
        <f t="shared" ca="1" si="94"/>
        <v>0.29553309245637494</v>
      </c>
      <c r="AM147" t="str">
        <f t="shared" si="95"/>
        <v>No</v>
      </c>
      <c r="AN147" s="7" t="str">
        <f t="shared" si="96"/>
        <v/>
      </c>
      <c r="AP147">
        <f t="shared" si="97"/>
        <v>0</v>
      </c>
      <c r="AQ147" t="str">
        <f t="shared" ca="1" si="98"/>
        <v/>
      </c>
    </row>
    <row r="148" spans="1:43" x14ac:dyDescent="0.3">
      <c r="A148" t="s">
        <v>240</v>
      </c>
      <c r="B148" t="s">
        <v>302</v>
      </c>
      <c r="C148" t="s">
        <v>303</v>
      </c>
      <c r="D148" t="s">
        <v>136</v>
      </c>
      <c r="E148" t="s">
        <v>57</v>
      </c>
      <c r="G148" t="s">
        <v>45</v>
      </c>
      <c r="H148" t="s">
        <v>45</v>
      </c>
      <c r="I148" t="s">
        <v>45</v>
      </c>
      <c r="R148" t="s">
        <v>45</v>
      </c>
      <c r="S148">
        <v>8</v>
      </c>
      <c r="X148" t="str">
        <f t="shared" si="99"/>
        <v>No</v>
      </c>
      <c r="Y148" t="s">
        <v>197</v>
      </c>
      <c r="Z148" t="s">
        <v>48</v>
      </c>
      <c r="AA148" t="s">
        <v>117</v>
      </c>
      <c r="AB148">
        <f t="shared" si="100"/>
        <v>75</v>
      </c>
      <c r="AC148" t="s">
        <v>49</v>
      </c>
      <c r="AD148">
        <f t="shared" si="101"/>
        <v>5</v>
      </c>
      <c r="AE148" t="str">
        <f t="shared" ca="1" si="93"/>
        <v/>
      </c>
      <c r="AI148">
        <v>12.733333333333331</v>
      </c>
      <c r="AJ148">
        <v>32.166666666666657</v>
      </c>
      <c r="AL148" s="5">
        <f t="shared" ca="1" si="94"/>
        <v>0.29684893424528219</v>
      </c>
      <c r="AM148" t="str">
        <f t="shared" si="95"/>
        <v>No</v>
      </c>
      <c r="AN148" s="7" t="str">
        <f t="shared" si="96"/>
        <v/>
      </c>
      <c r="AP148">
        <f t="shared" si="97"/>
        <v>0</v>
      </c>
      <c r="AQ148" t="str">
        <f t="shared" ca="1" si="98"/>
        <v/>
      </c>
    </row>
    <row r="149" spans="1:43" x14ac:dyDescent="0.3">
      <c r="A149" t="s">
        <v>240</v>
      </c>
      <c r="B149" t="s">
        <v>304</v>
      </c>
      <c r="C149" t="s">
        <v>197</v>
      </c>
      <c r="D149" t="s">
        <v>136</v>
      </c>
      <c r="E149" t="s">
        <v>57</v>
      </c>
      <c r="G149" t="s">
        <v>45</v>
      </c>
      <c r="H149" t="s">
        <v>45</v>
      </c>
      <c r="I149" t="s">
        <v>45</v>
      </c>
      <c r="R149" t="s">
        <v>45</v>
      </c>
      <c r="S149">
        <v>7</v>
      </c>
      <c r="X149" t="str">
        <f t="shared" si="99"/>
        <v>No</v>
      </c>
      <c r="Y149" t="s">
        <v>197</v>
      </c>
      <c r="Z149" t="s">
        <v>48</v>
      </c>
      <c r="AA149" t="s">
        <v>117</v>
      </c>
      <c r="AB149">
        <f t="shared" si="100"/>
        <v>75</v>
      </c>
      <c r="AC149" t="s">
        <v>49</v>
      </c>
      <c r="AD149">
        <f t="shared" si="101"/>
        <v>5</v>
      </c>
      <c r="AE149" t="str">
        <f t="shared" ca="1" si="93"/>
        <v/>
      </c>
      <c r="AI149">
        <v>12.848333333333329</v>
      </c>
      <c r="AJ149">
        <v>41.116666666666667</v>
      </c>
      <c r="AL149" s="5">
        <f t="shared" ca="1" si="94"/>
        <v>0.30162751758394607</v>
      </c>
      <c r="AM149" t="str">
        <f t="shared" si="95"/>
        <v>No</v>
      </c>
      <c r="AN149" s="7" t="str">
        <f t="shared" si="96"/>
        <v/>
      </c>
      <c r="AP149">
        <f t="shared" si="97"/>
        <v>0</v>
      </c>
      <c r="AQ149" t="str">
        <f t="shared" ca="1" si="98"/>
        <v/>
      </c>
    </row>
    <row r="150" spans="1:43" x14ac:dyDescent="0.3">
      <c r="A150" t="s">
        <v>240</v>
      </c>
      <c r="B150" t="s">
        <v>313</v>
      </c>
      <c r="C150" t="s">
        <v>314</v>
      </c>
      <c r="D150" t="s">
        <v>136</v>
      </c>
      <c r="E150" t="s">
        <v>57</v>
      </c>
      <c r="G150" t="s">
        <v>45</v>
      </c>
      <c r="H150" t="s">
        <v>45</v>
      </c>
      <c r="I150" t="s">
        <v>45</v>
      </c>
      <c r="R150" t="s">
        <v>45</v>
      </c>
      <c r="S150">
        <v>60</v>
      </c>
      <c r="X150" t="str">
        <f t="shared" si="99"/>
        <v>No</v>
      </c>
      <c r="Y150" t="s">
        <v>46</v>
      </c>
      <c r="Z150" t="s">
        <v>48</v>
      </c>
      <c r="AA150" t="s">
        <v>117</v>
      </c>
      <c r="AB150">
        <f t="shared" si="100"/>
        <v>90</v>
      </c>
      <c r="AC150" t="s">
        <v>49</v>
      </c>
      <c r="AD150">
        <f t="shared" si="101"/>
        <v>10</v>
      </c>
      <c r="AE150" t="str">
        <f t="shared" ca="1" si="93"/>
        <v/>
      </c>
      <c r="AI150">
        <v>16.741666666666671</v>
      </c>
      <c r="AJ150">
        <v>23.81666666666667</v>
      </c>
      <c r="AL150" s="5">
        <f t="shared" ca="1" si="94"/>
        <v>0.46340680278857066</v>
      </c>
      <c r="AM150" t="str">
        <f t="shared" si="95"/>
        <v>No</v>
      </c>
      <c r="AN150" s="7" t="str">
        <f t="shared" si="96"/>
        <v/>
      </c>
      <c r="AP150">
        <f t="shared" si="97"/>
        <v>0</v>
      </c>
      <c r="AQ150" t="str">
        <f t="shared" ca="1" si="98"/>
        <v/>
      </c>
    </row>
    <row r="151" spans="1:43" x14ac:dyDescent="0.3">
      <c r="A151" t="s">
        <v>240</v>
      </c>
      <c r="B151" t="s">
        <v>401</v>
      </c>
      <c r="C151" t="s">
        <v>402</v>
      </c>
      <c r="D151" t="s">
        <v>403</v>
      </c>
      <c r="E151" t="s">
        <v>57</v>
      </c>
      <c r="G151" t="s">
        <v>45</v>
      </c>
      <c r="H151" t="s">
        <v>45</v>
      </c>
      <c r="AE151" t="str">
        <f t="shared" ca="1" si="93"/>
        <v/>
      </c>
      <c r="AL151" s="5">
        <f t="shared" ca="1" si="94"/>
        <v>0.76774202544248749</v>
      </c>
      <c r="AM151" t="str">
        <f t="shared" si="95"/>
        <v>No</v>
      </c>
      <c r="AN151" s="7" t="str">
        <f t="shared" si="96"/>
        <v/>
      </c>
      <c r="AP151">
        <f t="shared" si="97"/>
        <v>0</v>
      </c>
      <c r="AQ151" t="str">
        <f t="shared" ca="1" si="98"/>
        <v/>
      </c>
    </row>
    <row r="152" spans="1:43" x14ac:dyDescent="0.3">
      <c r="A152" t="s">
        <v>240</v>
      </c>
      <c r="B152" t="s">
        <v>251</v>
      </c>
      <c r="C152" t="s">
        <v>252</v>
      </c>
      <c r="D152" t="s">
        <v>43</v>
      </c>
      <c r="E152" t="s">
        <v>57</v>
      </c>
      <c r="G152" t="s">
        <v>45</v>
      </c>
      <c r="H152" t="s">
        <v>45</v>
      </c>
      <c r="I152" t="s">
        <v>45</v>
      </c>
      <c r="S152">
        <v>0.8</v>
      </c>
      <c r="X152" t="str">
        <f>IF(S152="", "", IF(S152&gt;78,"Yes","No"))</f>
        <v>No</v>
      </c>
      <c r="Y152" t="s">
        <v>167</v>
      </c>
      <c r="AB152">
        <f>IF(Y152="Emission Nebula",90,IF(Y152="Reflection Nebula",75,IF(Y152="Planetary Nebula",60,IF(Y152="Galaxy",90,IF(Y152="Globular Cluster",30,IF(Y152="Open Cluster",20,IF(Y152="Comet",20,IF(Y152="Planet",10,IF(Y152="Star",5,45)))))))))</f>
        <v>60</v>
      </c>
      <c r="AD152">
        <f>MAX(1,MIN(10,ROUND((IF(S152="",5,IF(S152&lt;3,2,IF(S152&lt;10,4,IF(S152&lt;=70,8,IF(S152&lt;=100,6,4))))))+IF(Y152="Emission Nebula",2,IF(Y152="Open Cluster",2,IF(Y152="Globular Cluster",2,IF(Y152="Reflection Nebula",1,IF(Y152="Planetary Nebula",1,IF(Y152="Comet",1,0))))))+IF(Z152="High (easy)",2,IF(Z152="Medium",1,IF(Z152="Low (hard)",-1,0)))+IF(AA152="High (OK with Moon)",2,IF(AA152="Medium",0,IF(AA152="Low (needs dark)",-2,0)))+IF(AC152="High (best &gt;50°)",1,IF(AC152="Medium",0,IF(AC152="Low (OK)",-1,0))),0)))</f>
        <v>3</v>
      </c>
      <c r="AE152" t="str">
        <f t="shared" ca="1" si="93"/>
        <v/>
      </c>
      <c r="AI152">
        <v>17.97666666666667</v>
      </c>
      <c r="AJ152">
        <v>66.63333333333334</v>
      </c>
      <c r="AL152" s="5">
        <f t="shared" ca="1" si="94"/>
        <v>0.51472463255596212</v>
      </c>
      <c r="AM152" t="str">
        <f t="shared" si="95"/>
        <v>No</v>
      </c>
      <c r="AN152" s="7" t="str">
        <f t="shared" si="96"/>
        <v/>
      </c>
      <c r="AP152">
        <f t="shared" si="97"/>
        <v>0</v>
      </c>
      <c r="AQ152" t="str">
        <f t="shared" ca="1" si="98"/>
        <v/>
      </c>
    </row>
    <row r="153" spans="1:43" hidden="1" x14ac:dyDescent="0.3">
      <c r="A153" t="s">
        <v>240</v>
      </c>
      <c r="B153" t="s">
        <v>241</v>
      </c>
      <c r="C153" t="s">
        <v>242</v>
      </c>
      <c r="D153" t="s">
        <v>243</v>
      </c>
      <c r="E153" t="s">
        <v>44</v>
      </c>
      <c r="G153" t="s">
        <v>45</v>
      </c>
      <c r="P153" t="s">
        <v>45</v>
      </c>
      <c r="Q153" t="s">
        <v>45</v>
      </c>
      <c r="R153" t="s">
        <v>45</v>
      </c>
      <c r="S153">
        <v>30</v>
      </c>
      <c r="T153">
        <v>5</v>
      </c>
      <c r="V153" t="s">
        <v>383</v>
      </c>
      <c r="X153" t="str">
        <f>IF(S153="", "", IF(S153&gt;78,"Yes","No"))</f>
        <v>No</v>
      </c>
      <c r="Y153" t="s">
        <v>70</v>
      </c>
      <c r="AB153">
        <f>IF(Y153="Emission Nebula",90,IF(Y153="Reflection Nebula",75,IF(Y153="Planetary Nebula",60,IF(Y153="Galaxy",90,IF(Y153="Globular Cluster",30,IF(Y153="Open Cluster",20,IF(Y153="Comet",20,IF(Y153="Planet",10,IF(Y153="Star",5,45)))))))))</f>
        <v>20</v>
      </c>
      <c r="AD153">
        <f>MAX(1,MIN(10,ROUND((IF(S153="",5,IF(S153&lt;3,2,IF(S153&lt;10,4,IF(S153&lt;=70,8,IF(S153&lt;=100,6,4))))))+IF(Y153="Emission Nebula",2,IF(Y153="Open Cluster",2,IF(Y153="Globular Cluster",2,IF(Y153="Reflection Nebula",1,IF(Y153="Planetary Nebula",1,IF(Y153="Comet",1,0))))))+IF(Z153="High (easy)",2,IF(Z153="Medium",1,IF(Z153="Low (hard)",-1,0)))+IF(AA153="High (OK with Moon)",2,IF(AA153="Medium",0,IF(AA153="Low (needs dark)",-2,0)))+IF(AC153="High (best &gt;50°)",1,IF(AC153="Medium",0,IF(AC153="Low (OK)",-1,0))),0)))</f>
        <v>10</v>
      </c>
      <c r="AE153" t="str">
        <f ca="1">IF(AND(CHOOSE(MONTH(TODAY()),G153,H153,I153,J153,K153,L153,M153,N153,O153,P153,Q153,R153)="✔",AD153&gt;=7,OR(V153&lt;&gt;"No",V153=""),OR(X153="No",X153="")),"⭐ PICK","")</f>
        <v/>
      </c>
      <c r="AI153">
        <v>5.27</v>
      </c>
      <c r="AJ153">
        <v>34.33</v>
      </c>
      <c r="AK153" t="s">
        <v>6</v>
      </c>
      <c r="AL153" t="s">
        <v>161</v>
      </c>
      <c r="AM153" t="s">
        <v>44</v>
      </c>
      <c r="AN153" t="s">
        <v>223</v>
      </c>
      <c r="AO153">
        <v>88.7</v>
      </c>
    </row>
    <row r="154" spans="1:43" x14ac:dyDescent="0.3">
      <c r="A154" t="s">
        <v>240</v>
      </c>
      <c r="B154" t="s">
        <v>253</v>
      </c>
      <c r="C154" t="s">
        <v>254</v>
      </c>
      <c r="D154" t="s">
        <v>255</v>
      </c>
      <c r="E154" t="s">
        <v>57</v>
      </c>
      <c r="G154" t="s">
        <v>45</v>
      </c>
      <c r="H154" t="s">
        <v>45</v>
      </c>
      <c r="I154" t="s">
        <v>45</v>
      </c>
      <c r="J154" t="s">
        <v>45</v>
      </c>
      <c r="S154">
        <v>4</v>
      </c>
      <c r="X154" t="str">
        <f>IF(S154="", "", IF(S154&gt;78,"Yes","No"))</f>
        <v>No</v>
      </c>
      <c r="Y154" t="s">
        <v>54</v>
      </c>
      <c r="AB154">
        <f>IF(Y154="Emission Nebula",90,IF(Y154="Reflection Nebula",75,IF(Y154="Planetary Nebula",60,IF(Y154="Galaxy",90,IF(Y154="Globular Cluster",30,IF(Y154="Open Cluster",20,IF(Y154="Comet",20,IF(Y154="Planet",10,IF(Y154="Star",5,45)))))))))</f>
        <v>30</v>
      </c>
      <c r="AD154">
        <f>MAX(1,MIN(10,ROUND((IF(S154="",5,IF(S154&lt;3,2,IF(S154&lt;10,4,IF(S154&lt;=70,8,IF(S154&lt;=100,6,4))))))+IF(Y154="Emission Nebula",2,IF(Y154="Open Cluster",2,IF(Y154="Globular Cluster",2,IF(Y154="Reflection Nebula",1,IF(Y154="Planetary Nebula",1,IF(Y154="Comet",1,0))))))+IF(Z154="High (easy)",2,IF(Z154="Medium",1,IF(Z154="Low (hard)",-1,0)))+IF(AA154="High (OK with Moon)",2,IF(AA154="Medium",0,IF(AA154="Low (needs dark)",-2,0)))+IF(AC154="High (best &gt;50°)",1,IF(AC154="Medium",0,IF(AC154="Low (OK)",-1,0))),0)))</f>
        <v>6</v>
      </c>
      <c r="AE154" t="str">
        <f ca="1">IF(AND(CHOOSE(MONTH(TODAY()),G154,H154,I154,J154,K154,L154,M154,N154,O154,P154,Q154,R154)="✔",AD154&gt;=7,AM154="Yes",AO154&gt;=50,OR(X154="No",X154=""),OR(E154="No",V154="Yes")),"⭐ PICK","")</f>
        <v/>
      </c>
      <c r="AI154">
        <v>20.76166666666667</v>
      </c>
      <c r="AJ154">
        <v>30.716666666666669</v>
      </c>
      <c r="AL154" s="5">
        <f ca="1">IFERROR(MOD((AI154-(MOD(18.697374558+24.065709824419*(TODAY()-DATE(2000,1,1)+0.5)+$AZ$1/15,24)))/1.00273790935,24)/24,"")</f>
        <v>0.63044945514882467</v>
      </c>
      <c r="AM154" t="str">
        <f>IF(AO154&gt;=20,"Yes","No")</f>
        <v>No</v>
      </c>
      <c r="AN154" s="7" t="str">
        <f>IF(AM154="Yes",TEXT(AL154,"h:mm AM/PM"),"")</f>
        <v/>
      </c>
      <c r="AP154">
        <f>ROUND(MAX(0,MIN(10,(AO154-20)/6)),1)</f>
        <v>0</v>
      </c>
      <c r="AQ154" t="str">
        <f ca="1">IF(AE154="⭐ PICK","PICK at "&amp;AN154,"")</f>
        <v/>
      </c>
    </row>
    <row r="155" spans="1:43" hidden="1" x14ac:dyDescent="0.3">
      <c r="A155" t="s">
        <v>287</v>
      </c>
      <c r="B155" t="s">
        <v>385</v>
      </c>
      <c r="C155" t="s">
        <v>398</v>
      </c>
      <c r="D155" t="s">
        <v>387</v>
      </c>
      <c r="E155" t="s">
        <v>44</v>
      </c>
      <c r="G155" t="s">
        <v>45</v>
      </c>
      <c r="H155" t="s">
        <v>45</v>
      </c>
      <c r="I155" t="s">
        <v>45</v>
      </c>
      <c r="S155">
        <v>13</v>
      </c>
      <c r="T155">
        <v>120</v>
      </c>
      <c r="V155" t="s">
        <v>57</v>
      </c>
      <c r="W155">
        <v>4</v>
      </c>
      <c r="X155" t="s">
        <v>57</v>
      </c>
      <c r="Y155" t="s">
        <v>46</v>
      </c>
      <c r="Z155" t="s">
        <v>389</v>
      </c>
      <c r="AA155" t="s">
        <v>389</v>
      </c>
      <c r="AB155">
        <v>120</v>
      </c>
      <c r="AD155">
        <v>5</v>
      </c>
      <c r="AG155" t="s">
        <v>8</v>
      </c>
      <c r="AH155" t="s">
        <v>8</v>
      </c>
      <c r="AI155">
        <v>5.4683000000000002</v>
      </c>
      <c r="AJ155">
        <v>34.423999999999999</v>
      </c>
      <c r="AK155" t="s">
        <v>8</v>
      </c>
      <c r="AL155" s="3">
        <v>0.89583333333333337</v>
      </c>
      <c r="AM155" s="3" t="s">
        <v>44</v>
      </c>
      <c r="AN155" s="3">
        <v>0.9375</v>
      </c>
      <c r="AO155" s="3">
        <v>60</v>
      </c>
      <c r="AQ155" s="3"/>
    </row>
    <row r="156" spans="1:43" x14ac:dyDescent="0.3">
      <c r="A156" t="s">
        <v>240</v>
      </c>
      <c r="B156" t="s">
        <v>246</v>
      </c>
      <c r="C156" t="s">
        <v>247</v>
      </c>
      <c r="D156" t="s">
        <v>248</v>
      </c>
      <c r="E156" t="s">
        <v>57</v>
      </c>
      <c r="O156" t="s">
        <v>45</v>
      </c>
      <c r="P156" t="s">
        <v>45</v>
      </c>
      <c r="Q156" t="s">
        <v>45</v>
      </c>
      <c r="R156" t="s">
        <v>45</v>
      </c>
      <c r="S156">
        <v>28</v>
      </c>
      <c r="X156" t="str">
        <f>IF(S156="", "", IF(S156&gt;78,"Yes","No"))</f>
        <v>No</v>
      </c>
      <c r="Y156" t="s">
        <v>116</v>
      </c>
      <c r="AB156">
        <f>IF(Y156="Emission Nebula",90,IF(Y156="Reflection Nebula",75,IF(Y156="Planetary Nebula",60,IF(Y156="Galaxy",90,IF(Y156="Globular Cluster",30,IF(Y156="Open Cluster",20,IF(Y156="Comet",20,IF(Y156="Planet",10,IF(Y156="Star",5,45)))))))))</f>
        <v>90</v>
      </c>
      <c r="AD156">
        <f>MAX(1,MIN(10,ROUND((IF(S156="",5,IF(S156&lt;3,2,IF(S156&lt;10,4,IF(S156&lt;=70,8,IF(S156&lt;=100,6,4))))))+IF(Y156="Emission Nebula",2,IF(Y156="Open Cluster",2,IF(Y156="Globular Cluster",2,IF(Y156="Reflection Nebula",1,IF(Y156="Planetary Nebula",1,IF(Y156="Comet",1,0))))))+IF(Z156="High (easy)",2,IF(Z156="Medium",1,IF(Z156="Low (hard)",-1,0)))+IF(AA156="High (OK with Moon)",2,IF(AA156="Medium",0,IF(AA156="Low (needs dark)",-2,0)))+IF(AC156="High (best &gt;50°)",1,IF(AC156="Medium",0,IF(AC156="Low (OK)",-1,0))),0)))</f>
        <v>8</v>
      </c>
      <c r="AE156" t="str">
        <f ca="1">IF(AND(CHOOSE(MONTH(TODAY()),G156,H156,I156,J156,K156,L156,M156,N156,O156,P156,Q156,R156)="✔",AD156&gt;=7,AM156="Yes",AO156&gt;=50,OR(X156="No",X156=""),OR(E156="No",V156="Yes")),"⭐ PICK","")</f>
        <v/>
      </c>
      <c r="AI156">
        <v>21.688333333333329</v>
      </c>
      <c r="AJ156">
        <v>66.099999999999994</v>
      </c>
      <c r="AL156" s="5">
        <f ca="1">IFERROR(MOD((AI156-(MOD(18.697374558+24.065709824419*(TODAY()-DATE(2000,1,1)+0.5)+$AZ$1/15,24)))/1.00273790935,24)/24,"")</f>
        <v>0.66895514118211674</v>
      </c>
      <c r="AM156" t="str">
        <f>IF(AO156&gt;=20,"Yes","No")</f>
        <v>No</v>
      </c>
      <c r="AN156" s="7" t="str">
        <f>IF(AM156="Yes",TEXT(AL156,"h:mm AM/PM"),"")</f>
        <v/>
      </c>
      <c r="AP156">
        <f>ROUND(MAX(0,MIN(10,(AO156-20)/6)),1)</f>
        <v>0</v>
      </c>
      <c r="AQ156" t="str">
        <f ca="1">IF(AE156="⭐ PICK","PICK at "&amp;AN156,"")</f>
        <v/>
      </c>
    </row>
    <row r="157" spans="1:43" hidden="1" x14ac:dyDescent="0.3">
      <c r="A157" t="s">
        <v>287</v>
      </c>
      <c r="B157" t="s">
        <v>316</v>
      </c>
      <c r="C157" t="s">
        <v>317</v>
      </c>
      <c r="D157" t="s">
        <v>387</v>
      </c>
      <c r="E157" t="s">
        <v>44</v>
      </c>
      <c r="G157" t="s">
        <v>45</v>
      </c>
      <c r="H157" t="s">
        <v>45</v>
      </c>
      <c r="I157" t="s">
        <v>45</v>
      </c>
      <c r="S157" t="s">
        <v>400</v>
      </c>
      <c r="T157">
        <v>150</v>
      </c>
      <c r="V157" t="s">
        <v>57</v>
      </c>
      <c r="W157">
        <v>4</v>
      </c>
      <c r="X157" t="s">
        <v>44</v>
      </c>
      <c r="Y157" t="s">
        <v>391</v>
      </c>
      <c r="Z157" t="s">
        <v>388</v>
      </c>
      <c r="AA157" t="s">
        <v>389</v>
      </c>
      <c r="AB157">
        <v>150</v>
      </c>
      <c r="AD157">
        <v>6</v>
      </c>
      <c r="AG157" t="s">
        <v>392</v>
      </c>
      <c r="AH157" t="s">
        <v>7</v>
      </c>
      <c r="AI157">
        <v>5.2803000000000004</v>
      </c>
      <c r="AJ157">
        <v>33.935000000000002</v>
      </c>
      <c r="AK157" s="3" t="s">
        <v>7</v>
      </c>
      <c r="AL157" s="3">
        <v>0.85416666666666663</v>
      </c>
      <c r="AM157" s="3" t="s">
        <v>44</v>
      </c>
      <c r="AN157" s="3">
        <v>0.90625</v>
      </c>
      <c r="AO157" s="3">
        <v>58</v>
      </c>
    </row>
    <row r="158" spans="1:43" hidden="1" x14ac:dyDescent="0.3">
      <c r="A158" t="s">
        <v>287</v>
      </c>
      <c r="B158" t="s">
        <v>318</v>
      </c>
      <c r="C158" t="s">
        <v>319</v>
      </c>
      <c r="D158" t="s">
        <v>387</v>
      </c>
      <c r="E158" t="s">
        <v>44</v>
      </c>
      <c r="G158" t="s">
        <v>45</v>
      </c>
      <c r="H158" t="s">
        <v>45</v>
      </c>
      <c r="I158" t="s">
        <v>45</v>
      </c>
      <c r="S158">
        <v>40</v>
      </c>
      <c r="T158">
        <v>150</v>
      </c>
      <c r="V158" t="s">
        <v>57</v>
      </c>
      <c r="W158">
        <v>4</v>
      </c>
      <c r="X158" t="s">
        <v>44</v>
      </c>
      <c r="Y158" t="s">
        <v>46</v>
      </c>
      <c r="Z158" t="s">
        <v>388</v>
      </c>
      <c r="AA158" t="s">
        <v>389</v>
      </c>
      <c r="AB158">
        <v>150</v>
      </c>
      <c r="AD158">
        <v>5</v>
      </c>
      <c r="AG158" t="s">
        <v>8</v>
      </c>
      <c r="AH158" t="s">
        <v>8</v>
      </c>
      <c r="AI158">
        <v>5.45</v>
      </c>
      <c r="AJ158">
        <v>34</v>
      </c>
      <c r="AK158" s="3" t="s">
        <v>8</v>
      </c>
      <c r="AL158" s="3">
        <v>0.89583333333333337</v>
      </c>
      <c r="AM158" s="3" t="s">
        <v>44</v>
      </c>
      <c r="AN158" s="3">
        <v>0.92708333333333337</v>
      </c>
      <c r="AO158" s="3">
        <v>56</v>
      </c>
    </row>
    <row r="159" spans="1:43" x14ac:dyDescent="0.3">
      <c r="A159" t="s">
        <v>240</v>
      </c>
      <c r="B159" t="s">
        <v>256</v>
      </c>
      <c r="C159" t="s">
        <v>257</v>
      </c>
      <c r="D159" t="s">
        <v>202</v>
      </c>
      <c r="E159" t="s">
        <v>57</v>
      </c>
      <c r="I159" t="s">
        <v>45</v>
      </c>
      <c r="J159" t="s">
        <v>45</v>
      </c>
      <c r="K159" t="s">
        <v>45</v>
      </c>
      <c r="S159">
        <v>9</v>
      </c>
      <c r="X159" t="str">
        <f>IF(S159="", "", IF(S159&gt;78,"Yes","No"))</f>
        <v>No</v>
      </c>
      <c r="Y159" t="s">
        <v>116</v>
      </c>
      <c r="AB159">
        <f>IF(Y159="Emission Nebula",90,IF(Y159="Reflection Nebula",75,IF(Y159="Planetary Nebula",60,IF(Y159="Galaxy",90,IF(Y159="Globular Cluster",30,IF(Y159="Open Cluster",20,IF(Y159="Comet",20,IF(Y159="Planet",10,IF(Y159="Star",5,45)))))))))</f>
        <v>90</v>
      </c>
      <c r="AD159">
        <f>MAX(1,MIN(10,ROUND((IF(S159="",5,IF(S159&lt;3,2,IF(S159&lt;10,4,IF(S159&lt;=70,8,IF(S159&lt;=100,6,4))))))+IF(Y159="Emission Nebula",2,IF(Y159="Open Cluster",2,IF(Y159="Globular Cluster",2,IF(Y159="Reflection Nebula",1,IF(Y159="Planetary Nebula",1,IF(Y159="Comet",1,0))))))+IF(Z159="High (easy)",2,IF(Z159="Medium",1,IF(Z159="Low (hard)",-1,0)))+IF(AA159="High (OK with Moon)",2,IF(AA159="Medium",0,IF(AA159="Low (needs dark)",-2,0)))+IF(AC159="High (best &gt;50°)",1,IF(AC159="Medium",0,IF(AC159="Low (OK)",-1,0))),0)))</f>
        <v>4</v>
      </c>
      <c r="AE159" t="str">
        <f t="shared" ref="AE159:AE178" ca="1" si="102">IF(AND(CHOOSE(MONTH(TODAY()),G159,H159,I159,J159,K159,L159,M159,N159,O159,P159,Q159,R159)="✔",AD159&gt;=7,AM159="Yes",AO159&gt;=50,OR(X159="No",X159=""),OR(E159="No",V159="Yes")),"⭐ PICK","")</f>
        <v/>
      </c>
      <c r="AI159">
        <v>5.5E-2</v>
      </c>
      <c r="AJ159">
        <v>16.149999999999999</v>
      </c>
      <c r="AL159" s="5">
        <f t="shared" ref="AL159:AL178" ca="1" si="103">IFERROR(MOD((AI159-(MOD(18.697374558+24.065709824419*(TODAY()-DATE(2000,1,1)+0.5)+$AZ$1/15,24)))/1.00273790935,24)/24,"")</f>
        <v>0.77002743486532677</v>
      </c>
      <c r="AM159" t="str">
        <f t="shared" ref="AM159:AM178" si="104">IF(AO159&gt;=20,"Yes","No")</f>
        <v>No</v>
      </c>
      <c r="AN159" s="7" t="str">
        <f t="shared" ref="AN159:AN178" si="105">IF(AM159="Yes",TEXT(AL159,"h:mm AM/PM"),"")</f>
        <v/>
      </c>
      <c r="AP159">
        <f t="shared" ref="AP159:AP178" si="106">ROUND(MAX(0,MIN(10,(AO159-20)/6)),1)</f>
        <v>0</v>
      </c>
      <c r="AQ159" t="str">
        <f t="shared" ref="AQ159:AQ178" ca="1" si="107">IF(AE159="⭐ PICK","PICK at "&amp;AN159,"")</f>
        <v/>
      </c>
    </row>
    <row r="160" spans="1:43" x14ac:dyDescent="0.3">
      <c r="A160" t="s">
        <v>240</v>
      </c>
      <c r="B160" t="s">
        <v>322</v>
      </c>
      <c r="C160" t="s">
        <v>323</v>
      </c>
      <c r="D160" t="s">
        <v>393</v>
      </c>
      <c r="E160" t="s">
        <v>57</v>
      </c>
      <c r="G160" t="s">
        <v>45</v>
      </c>
      <c r="H160" t="s">
        <v>45</v>
      </c>
      <c r="I160" t="s">
        <v>45</v>
      </c>
      <c r="S160">
        <v>35</v>
      </c>
      <c r="T160">
        <v>120</v>
      </c>
      <c r="V160" t="s">
        <v>57</v>
      </c>
      <c r="W160">
        <v>4</v>
      </c>
      <c r="X160" t="s">
        <v>57</v>
      </c>
      <c r="Y160" t="s">
        <v>46</v>
      </c>
      <c r="Z160" t="s">
        <v>388</v>
      </c>
      <c r="AA160" t="s">
        <v>48</v>
      </c>
      <c r="AB160">
        <v>120</v>
      </c>
      <c r="AD160">
        <v>5</v>
      </c>
      <c r="AE160" t="str">
        <f t="shared" ca="1" si="102"/>
        <v/>
      </c>
      <c r="AG160" t="s">
        <v>16</v>
      </c>
      <c r="AH160" t="s">
        <v>16</v>
      </c>
      <c r="AI160">
        <v>0.86670000000000003</v>
      </c>
      <c r="AJ160">
        <v>56.616999999999997</v>
      </c>
      <c r="AK160" t="s">
        <v>16</v>
      </c>
      <c r="AL160" s="5">
        <f t="shared" ca="1" si="103"/>
        <v>0.80375592265657503</v>
      </c>
      <c r="AM160" t="str">
        <f t="shared" si="104"/>
        <v>Yes</v>
      </c>
      <c r="AN160" s="7" t="str">
        <f t="shared" ca="1" si="105"/>
        <v>7:17 PM</v>
      </c>
      <c r="AO160" s="3">
        <v>40</v>
      </c>
      <c r="AP160">
        <f t="shared" si="106"/>
        <v>3.3</v>
      </c>
      <c r="AQ160" t="str">
        <f t="shared" ca="1" si="107"/>
        <v/>
      </c>
    </row>
    <row r="161" spans="1:43" x14ac:dyDescent="0.3">
      <c r="A161" t="s">
        <v>240</v>
      </c>
      <c r="B161" t="s">
        <v>258</v>
      </c>
      <c r="C161" t="s">
        <v>116</v>
      </c>
      <c r="D161" t="s">
        <v>255</v>
      </c>
      <c r="E161" t="s">
        <v>57</v>
      </c>
      <c r="G161" t="s">
        <v>45</v>
      </c>
      <c r="H161" t="s">
        <v>45</v>
      </c>
      <c r="I161" t="s">
        <v>45</v>
      </c>
      <c r="J161" t="s">
        <v>45</v>
      </c>
      <c r="S161">
        <v>12</v>
      </c>
      <c r="X161" t="str">
        <f t="shared" ref="X161:X174" si="108">IF(S161="", "", IF(S161&gt;78,"Yes","No"))</f>
        <v>No</v>
      </c>
      <c r="Y161" t="s">
        <v>116</v>
      </c>
      <c r="AB161">
        <f t="shared" ref="AB161:AB174" si="109">IF(Y161="Emission Nebula",90,IF(Y161="Reflection Nebula",75,IF(Y161="Planetary Nebula",60,IF(Y161="Galaxy",90,IF(Y161="Globular Cluster",30,IF(Y161="Open Cluster",20,IF(Y161="Comet",20,IF(Y161="Planet",10,IF(Y161="Star",5,45)))))))))</f>
        <v>90</v>
      </c>
      <c r="AD161">
        <f t="shared" ref="AD161:AD174" si="110">MAX(1,MIN(10,ROUND((IF(S161="",5,IF(S161&lt;3,2,IF(S161&lt;10,4,IF(S161&lt;=70,8,IF(S161&lt;=100,6,4))))))+IF(Y161="Emission Nebula",2,IF(Y161="Open Cluster",2,IF(Y161="Globular Cluster",2,IF(Y161="Reflection Nebula",1,IF(Y161="Planetary Nebula",1,IF(Y161="Comet",1,0))))))+IF(Z161="High (easy)",2,IF(Z161="Medium",1,IF(Z161="Low (hard)",-1,0)))+IF(AA161="High (OK with Moon)",2,IF(AA161="Medium",0,IF(AA161="Low (needs dark)",-2,0)))+IF(AC161="High (best &gt;50°)",1,IF(AC161="Medium",0,IF(AC161="Low (OK)",-1,0))),0)))</f>
        <v>8</v>
      </c>
      <c r="AE161" t="str">
        <f t="shared" ca="1" si="102"/>
        <v/>
      </c>
      <c r="AI161">
        <v>21.651666666666671</v>
      </c>
      <c r="AJ161">
        <v>57.5</v>
      </c>
      <c r="AL161" s="5">
        <f t="shared" ca="1" si="103"/>
        <v>0.66743153490022422</v>
      </c>
      <c r="AM161" t="str">
        <f t="shared" si="104"/>
        <v>No</v>
      </c>
      <c r="AN161" s="7" t="str">
        <f t="shared" si="105"/>
        <v/>
      </c>
      <c r="AP161">
        <f t="shared" si="106"/>
        <v>0</v>
      </c>
      <c r="AQ161" t="str">
        <f t="shared" ca="1" si="107"/>
        <v/>
      </c>
    </row>
    <row r="162" spans="1:43" x14ac:dyDescent="0.3">
      <c r="A162" t="s">
        <v>240</v>
      </c>
      <c r="B162" t="s">
        <v>259</v>
      </c>
      <c r="C162" t="s">
        <v>116</v>
      </c>
      <c r="D162" t="s">
        <v>202</v>
      </c>
      <c r="E162" t="s">
        <v>57</v>
      </c>
      <c r="I162" t="s">
        <v>45</v>
      </c>
      <c r="J162" t="s">
        <v>45</v>
      </c>
      <c r="K162" t="s">
        <v>45</v>
      </c>
      <c r="S162">
        <v>5</v>
      </c>
      <c r="X162" t="str">
        <f t="shared" si="108"/>
        <v>No</v>
      </c>
      <c r="Y162" t="s">
        <v>116</v>
      </c>
      <c r="AB162">
        <f t="shared" si="109"/>
        <v>90</v>
      </c>
      <c r="AD162">
        <f t="shared" si="110"/>
        <v>4</v>
      </c>
      <c r="AE162" t="str">
        <f t="shared" ca="1" si="102"/>
        <v/>
      </c>
      <c r="AI162">
        <v>3.78</v>
      </c>
      <c r="AJ162">
        <v>68.099999999999994</v>
      </c>
      <c r="AL162" s="5">
        <f t="shared" ca="1" si="103"/>
        <v>0.92481198213944271</v>
      </c>
      <c r="AM162" t="str">
        <f t="shared" si="104"/>
        <v>No</v>
      </c>
      <c r="AN162" s="7" t="str">
        <f t="shared" si="105"/>
        <v/>
      </c>
      <c r="AP162">
        <f t="shared" si="106"/>
        <v>0</v>
      </c>
      <c r="AQ162" t="str">
        <f t="shared" ca="1" si="107"/>
        <v/>
      </c>
    </row>
    <row r="163" spans="1:43" x14ac:dyDescent="0.3">
      <c r="A163" t="s">
        <v>240</v>
      </c>
      <c r="B163" t="s">
        <v>260</v>
      </c>
      <c r="C163" t="s">
        <v>229</v>
      </c>
      <c r="D163" t="s">
        <v>202</v>
      </c>
      <c r="E163" t="s">
        <v>57</v>
      </c>
      <c r="I163" t="s">
        <v>45</v>
      </c>
      <c r="J163" t="s">
        <v>45</v>
      </c>
      <c r="K163" t="s">
        <v>45</v>
      </c>
      <c r="S163">
        <v>8</v>
      </c>
      <c r="X163" t="str">
        <f t="shared" si="108"/>
        <v>No</v>
      </c>
      <c r="Y163" t="s">
        <v>116</v>
      </c>
      <c r="AB163">
        <f t="shared" si="109"/>
        <v>90</v>
      </c>
      <c r="AD163">
        <f t="shared" si="110"/>
        <v>4</v>
      </c>
      <c r="AE163" t="str">
        <f t="shared" ca="1" si="102"/>
        <v/>
      </c>
      <c r="AI163">
        <v>0.94500000000000006</v>
      </c>
      <c r="AJ163">
        <v>61.06666666666667</v>
      </c>
      <c r="AL163" s="5">
        <f t="shared" ca="1" si="103"/>
        <v>0.80700951461672632</v>
      </c>
      <c r="AM163" t="str">
        <f t="shared" si="104"/>
        <v>No</v>
      </c>
      <c r="AN163" s="7" t="str">
        <f t="shared" si="105"/>
        <v/>
      </c>
      <c r="AP163">
        <f t="shared" si="106"/>
        <v>0</v>
      </c>
      <c r="AQ163" t="str">
        <f t="shared" ca="1" si="107"/>
        <v/>
      </c>
    </row>
    <row r="164" spans="1:43" x14ac:dyDescent="0.3">
      <c r="A164" t="s">
        <v>240</v>
      </c>
      <c r="B164" t="s">
        <v>261</v>
      </c>
      <c r="C164" t="s">
        <v>262</v>
      </c>
      <c r="D164" t="s">
        <v>179</v>
      </c>
      <c r="E164" t="s">
        <v>57</v>
      </c>
      <c r="I164" t="s">
        <v>45</v>
      </c>
      <c r="J164" t="s">
        <v>45</v>
      </c>
      <c r="K164" t="s">
        <v>45</v>
      </c>
      <c r="L164" t="s">
        <v>45</v>
      </c>
      <c r="S164">
        <v>0.7</v>
      </c>
      <c r="X164" t="str">
        <f t="shared" si="108"/>
        <v>No</v>
      </c>
      <c r="Y164" t="s">
        <v>167</v>
      </c>
      <c r="AB164">
        <f t="shared" si="109"/>
        <v>60</v>
      </c>
      <c r="AD164">
        <f t="shared" si="110"/>
        <v>3</v>
      </c>
      <c r="AE164" t="str">
        <f t="shared" ca="1" si="102"/>
        <v/>
      </c>
      <c r="AI164">
        <v>6.15</v>
      </c>
      <c r="AJ164">
        <v>20.5</v>
      </c>
      <c r="AK164" t="s">
        <v>6</v>
      </c>
      <c r="AL164" s="5">
        <f t="shared" ca="1" si="103"/>
        <v>2.3292351814517966E-2</v>
      </c>
      <c r="AM164" t="str">
        <f t="shared" si="104"/>
        <v>Yes</v>
      </c>
      <c r="AN164" s="7" t="str">
        <f t="shared" ca="1" si="105"/>
        <v>12:33 AM</v>
      </c>
      <c r="AO164">
        <v>77.5</v>
      </c>
      <c r="AP164">
        <f t="shared" si="106"/>
        <v>9.6</v>
      </c>
      <c r="AQ164" t="str">
        <f t="shared" ca="1" si="107"/>
        <v/>
      </c>
    </row>
    <row r="165" spans="1:43" x14ac:dyDescent="0.3">
      <c r="A165" t="s">
        <v>240</v>
      </c>
      <c r="B165" t="s">
        <v>263</v>
      </c>
      <c r="C165" t="s">
        <v>264</v>
      </c>
      <c r="D165" t="s">
        <v>202</v>
      </c>
      <c r="E165" t="s">
        <v>57</v>
      </c>
      <c r="I165" t="s">
        <v>45</v>
      </c>
      <c r="J165" t="s">
        <v>45</v>
      </c>
      <c r="K165" t="s">
        <v>45</v>
      </c>
      <c r="S165">
        <v>15</v>
      </c>
      <c r="X165" t="str">
        <f t="shared" si="108"/>
        <v>No</v>
      </c>
      <c r="Y165" t="s">
        <v>116</v>
      </c>
      <c r="AB165">
        <f t="shared" si="109"/>
        <v>90</v>
      </c>
      <c r="AD165">
        <f t="shared" si="110"/>
        <v>8</v>
      </c>
      <c r="AE165" t="str">
        <f t="shared" ca="1" si="102"/>
        <v>⭐ PICK</v>
      </c>
      <c r="AI165">
        <v>5.68</v>
      </c>
      <c r="AJ165">
        <v>-1.85</v>
      </c>
      <c r="AK165" t="s">
        <v>6</v>
      </c>
      <c r="AL165" s="5">
        <f t="shared" ca="1" si="103"/>
        <v>3.762489473891217E-3</v>
      </c>
      <c r="AM165" t="str">
        <f t="shared" si="104"/>
        <v>Yes</v>
      </c>
      <c r="AN165" s="7" t="str">
        <f t="shared" ca="1" si="105"/>
        <v>12:05 AM</v>
      </c>
      <c r="AO165">
        <v>55.1</v>
      </c>
      <c r="AP165">
        <f t="shared" si="106"/>
        <v>5.9</v>
      </c>
      <c r="AQ165" t="str">
        <f t="shared" ca="1" si="107"/>
        <v>PICK at 12:05 AM</v>
      </c>
    </row>
    <row r="166" spans="1:43" x14ac:dyDescent="0.3">
      <c r="A166" t="s">
        <v>240</v>
      </c>
      <c r="B166" t="s">
        <v>265</v>
      </c>
      <c r="C166" t="s">
        <v>266</v>
      </c>
      <c r="D166" t="s">
        <v>158</v>
      </c>
      <c r="E166" t="s">
        <v>57</v>
      </c>
      <c r="J166" t="s">
        <v>45</v>
      </c>
      <c r="K166" t="s">
        <v>45</v>
      </c>
      <c r="L166" t="s">
        <v>45</v>
      </c>
      <c r="S166">
        <v>16</v>
      </c>
      <c r="X166" t="str">
        <f t="shared" si="108"/>
        <v>No</v>
      </c>
      <c r="Y166" t="s">
        <v>116</v>
      </c>
      <c r="AB166">
        <f t="shared" si="109"/>
        <v>90</v>
      </c>
      <c r="AD166">
        <f t="shared" si="110"/>
        <v>8</v>
      </c>
      <c r="AE166" t="str">
        <f t="shared" ca="1" si="102"/>
        <v/>
      </c>
      <c r="AI166">
        <v>5.58</v>
      </c>
      <c r="AJ166">
        <v>-4.87</v>
      </c>
      <c r="AK166" t="s">
        <v>6</v>
      </c>
      <c r="AL166" s="5">
        <f t="shared" ca="1" si="103"/>
        <v>0.99960719961418343</v>
      </c>
      <c r="AM166" t="str">
        <f t="shared" si="104"/>
        <v>Yes</v>
      </c>
      <c r="AN166" s="7" t="str">
        <f t="shared" ca="1" si="105"/>
        <v>11:59 PM</v>
      </c>
      <c r="AO166">
        <v>52.1</v>
      </c>
      <c r="AP166">
        <f t="shared" si="106"/>
        <v>5.4</v>
      </c>
      <c r="AQ166" t="str">
        <f t="shared" ca="1" si="107"/>
        <v/>
      </c>
    </row>
    <row r="167" spans="1:43" x14ac:dyDescent="0.3">
      <c r="A167" t="s">
        <v>240</v>
      </c>
      <c r="B167" t="s">
        <v>267</v>
      </c>
      <c r="C167" t="s">
        <v>268</v>
      </c>
      <c r="D167" t="s">
        <v>158</v>
      </c>
      <c r="E167" t="s">
        <v>57</v>
      </c>
      <c r="J167" t="s">
        <v>45</v>
      </c>
      <c r="K167" t="s">
        <v>45</v>
      </c>
      <c r="L167" t="s">
        <v>45</v>
      </c>
      <c r="S167">
        <v>15</v>
      </c>
      <c r="X167" t="str">
        <f t="shared" si="108"/>
        <v>No</v>
      </c>
      <c r="Y167" t="s">
        <v>116</v>
      </c>
      <c r="AB167">
        <f t="shared" si="109"/>
        <v>90</v>
      </c>
      <c r="AD167">
        <f t="shared" si="110"/>
        <v>8</v>
      </c>
      <c r="AE167" t="str">
        <f t="shared" ca="1" si="102"/>
        <v/>
      </c>
      <c r="AI167">
        <v>5.67</v>
      </c>
      <c r="AJ167">
        <v>-2.4500000000000002</v>
      </c>
      <c r="AK167" t="s">
        <v>6</v>
      </c>
      <c r="AL167" s="5">
        <f t="shared" ca="1" si="103"/>
        <v>3.3469604879204449E-3</v>
      </c>
      <c r="AM167" t="str">
        <f t="shared" si="104"/>
        <v>Yes</v>
      </c>
      <c r="AN167" s="7" t="str">
        <f t="shared" ca="1" si="105"/>
        <v>12:04 AM</v>
      </c>
      <c r="AO167">
        <v>54.5</v>
      </c>
      <c r="AP167">
        <f t="shared" si="106"/>
        <v>5.8</v>
      </c>
      <c r="AQ167" t="str">
        <f t="shared" ca="1" si="107"/>
        <v/>
      </c>
    </row>
    <row r="168" spans="1:43" x14ac:dyDescent="0.3">
      <c r="A168" t="s">
        <v>240</v>
      </c>
      <c r="B168" t="s">
        <v>269</v>
      </c>
      <c r="C168" t="s">
        <v>270</v>
      </c>
      <c r="D168" t="s">
        <v>158</v>
      </c>
      <c r="E168" t="s">
        <v>57</v>
      </c>
      <c r="J168" t="s">
        <v>45</v>
      </c>
      <c r="K168" t="s">
        <v>45</v>
      </c>
      <c r="L168" t="s">
        <v>45</v>
      </c>
      <c r="S168">
        <v>15</v>
      </c>
      <c r="X168" t="str">
        <f t="shared" si="108"/>
        <v>No</v>
      </c>
      <c r="Y168" t="s">
        <v>116</v>
      </c>
      <c r="AB168">
        <f t="shared" si="109"/>
        <v>90</v>
      </c>
      <c r="AD168">
        <f t="shared" si="110"/>
        <v>8</v>
      </c>
      <c r="AE168" t="str">
        <f t="shared" ca="1" si="102"/>
        <v/>
      </c>
      <c r="AI168">
        <v>5.77</v>
      </c>
      <c r="AJ168">
        <v>0.08</v>
      </c>
      <c r="AK168" t="s">
        <v>6</v>
      </c>
      <c r="AL168" s="5">
        <f t="shared" ca="1" si="103"/>
        <v>7.5022503476282433E-3</v>
      </c>
      <c r="AM168" t="str">
        <f t="shared" si="104"/>
        <v>Yes</v>
      </c>
      <c r="AN168" s="7" t="str">
        <f t="shared" ca="1" si="105"/>
        <v>12:10 AM</v>
      </c>
      <c r="AO168">
        <v>57.1</v>
      </c>
      <c r="AP168">
        <f t="shared" si="106"/>
        <v>6.2</v>
      </c>
      <c r="AQ168" t="str">
        <f t="shared" ca="1" si="107"/>
        <v/>
      </c>
    </row>
    <row r="169" spans="1:43" x14ac:dyDescent="0.3">
      <c r="A169" t="s">
        <v>240</v>
      </c>
      <c r="B169" t="s">
        <v>271</v>
      </c>
      <c r="C169" t="s">
        <v>272</v>
      </c>
      <c r="D169" t="s">
        <v>158</v>
      </c>
      <c r="E169" t="s">
        <v>57</v>
      </c>
      <c r="J169" t="s">
        <v>45</v>
      </c>
      <c r="K169" t="s">
        <v>45</v>
      </c>
      <c r="L169" t="s">
        <v>45</v>
      </c>
      <c r="S169">
        <v>11</v>
      </c>
      <c r="X169" t="str">
        <f t="shared" si="108"/>
        <v>No</v>
      </c>
      <c r="Y169" t="s">
        <v>116</v>
      </c>
      <c r="AB169">
        <f t="shared" si="109"/>
        <v>90</v>
      </c>
      <c r="AD169">
        <f t="shared" si="110"/>
        <v>8</v>
      </c>
      <c r="AE169" t="str">
        <f t="shared" ca="1" si="102"/>
        <v/>
      </c>
      <c r="AI169">
        <v>5.78</v>
      </c>
      <c r="AJ169">
        <v>0.23</v>
      </c>
      <c r="AK169" t="s">
        <v>6</v>
      </c>
      <c r="AL169" s="5">
        <f t="shared" ca="1" si="103"/>
        <v>7.9177793335990527E-3</v>
      </c>
      <c r="AM169" t="str">
        <f t="shared" si="104"/>
        <v>Yes</v>
      </c>
      <c r="AN169" s="7" t="str">
        <f t="shared" ca="1" si="105"/>
        <v>12:11 AM</v>
      </c>
      <c r="AO169">
        <v>57.2</v>
      </c>
      <c r="AP169">
        <f t="shared" si="106"/>
        <v>6.2</v>
      </c>
      <c r="AQ169" t="str">
        <f t="shared" ca="1" si="107"/>
        <v/>
      </c>
    </row>
    <row r="170" spans="1:43" x14ac:dyDescent="0.3">
      <c r="A170" t="s">
        <v>240</v>
      </c>
      <c r="B170" t="s">
        <v>273</v>
      </c>
      <c r="C170" t="s">
        <v>274</v>
      </c>
      <c r="D170" t="s">
        <v>158</v>
      </c>
      <c r="E170" t="s">
        <v>57</v>
      </c>
      <c r="J170" t="s">
        <v>45</v>
      </c>
      <c r="K170" t="s">
        <v>45</v>
      </c>
      <c r="L170" t="s">
        <v>45</v>
      </c>
      <c r="S170">
        <v>10</v>
      </c>
      <c r="X170" t="str">
        <f t="shared" si="108"/>
        <v>No</v>
      </c>
      <c r="Y170" t="s">
        <v>70</v>
      </c>
      <c r="AB170">
        <f t="shared" si="109"/>
        <v>20</v>
      </c>
      <c r="AD170">
        <f t="shared" si="110"/>
        <v>10</v>
      </c>
      <c r="AE170" t="str">
        <f t="shared" ca="1" si="102"/>
        <v/>
      </c>
      <c r="AI170">
        <v>5.6</v>
      </c>
      <c r="AJ170">
        <v>-6.72</v>
      </c>
      <c r="AK170" t="s">
        <v>6</v>
      </c>
      <c r="AL170" s="5">
        <f t="shared" ca="1" si="103"/>
        <v>4.382575861249641E-4</v>
      </c>
      <c r="AM170" t="str">
        <f t="shared" si="104"/>
        <v>Yes</v>
      </c>
      <c r="AN170" s="7" t="str">
        <f t="shared" ca="1" si="105"/>
        <v>12:00 AM</v>
      </c>
      <c r="AO170">
        <v>50.3</v>
      </c>
      <c r="AP170">
        <f t="shared" si="106"/>
        <v>5.0999999999999996</v>
      </c>
      <c r="AQ170" t="str">
        <f t="shared" ca="1" si="107"/>
        <v/>
      </c>
    </row>
    <row r="171" spans="1:43" x14ac:dyDescent="0.3">
      <c r="A171" t="s">
        <v>240</v>
      </c>
      <c r="B171" t="s">
        <v>275</v>
      </c>
      <c r="C171" t="s">
        <v>276</v>
      </c>
      <c r="D171" t="s">
        <v>158</v>
      </c>
      <c r="E171" t="s">
        <v>57</v>
      </c>
      <c r="J171" t="s">
        <v>45</v>
      </c>
      <c r="K171" t="s">
        <v>45</v>
      </c>
      <c r="L171" t="s">
        <v>45</v>
      </c>
      <c r="S171">
        <v>13</v>
      </c>
      <c r="X171" t="str">
        <f t="shared" si="108"/>
        <v>No</v>
      </c>
      <c r="Y171" t="s">
        <v>116</v>
      </c>
      <c r="AB171">
        <f t="shared" si="109"/>
        <v>90</v>
      </c>
      <c r="AD171">
        <f t="shared" si="110"/>
        <v>8</v>
      </c>
      <c r="AE171" t="str">
        <f t="shared" ca="1" si="102"/>
        <v/>
      </c>
      <c r="AI171">
        <v>5.58</v>
      </c>
      <c r="AJ171">
        <v>-5.91</v>
      </c>
      <c r="AK171" t="s">
        <v>6</v>
      </c>
      <c r="AL171" s="5">
        <f t="shared" ca="1" si="103"/>
        <v>0.99960719961418343</v>
      </c>
      <c r="AM171" t="str">
        <f t="shared" si="104"/>
        <v>Yes</v>
      </c>
      <c r="AN171" s="7" t="str">
        <f t="shared" ca="1" si="105"/>
        <v>11:59 PM</v>
      </c>
      <c r="AO171">
        <v>51.1</v>
      </c>
      <c r="AP171">
        <f t="shared" si="106"/>
        <v>5.2</v>
      </c>
      <c r="AQ171" t="str">
        <f t="shared" ca="1" si="107"/>
        <v/>
      </c>
    </row>
    <row r="172" spans="1:43" x14ac:dyDescent="0.3">
      <c r="A172" t="s">
        <v>240</v>
      </c>
      <c r="B172" t="s">
        <v>277</v>
      </c>
      <c r="C172" t="s">
        <v>167</v>
      </c>
      <c r="D172" t="s">
        <v>76</v>
      </c>
      <c r="E172" t="s">
        <v>57</v>
      </c>
      <c r="L172" t="s">
        <v>45</v>
      </c>
      <c r="M172" t="s">
        <v>45</v>
      </c>
      <c r="N172" t="s">
        <v>45</v>
      </c>
      <c r="S172">
        <v>0.4</v>
      </c>
      <c r="X172" t="str">
        <f t="shared" si="108"/>
        <v>No</v>
      </c>
      <c r="Y172" t="s">
        <v>167</v>
      </c>
      <c r="AB172">
        <f t="shared" si="109"/>
        <v>60</v>
      </c>
      <c r="AD172">
        <f t="shared" si="110"/>
        <v>3</v>
      </c>
      <c r="AE172" t="str">
        <f t="shared" ca="1" si="102"/>
        <v/>
      </c>
      <c r="AI172">
        <v>5.58</v>
      </c>
      <c r="AJ172">
        <v>-4.42</v>
      </c>
      <c r="AK172" t="s">
        <v>6</v>
      </c>
      <c r="AL172" s="5">
        <f t="shared" ca="1" si="103"/>
        <v>0.99960719961418343</v>
      </c>
      <c r="AM172" t="str">
        <f t="shared" si="104"/>
        <v>Yes</v>
      </c>
      <c r="AN172" s="7" t="str">
        <f t="shared" ca="1" si="105"/>
        <v>11:59 PM</v>
      </c>
      <c r="AO172">
        <v>52.6</v>
      </c>
      <c r="AP172">
        <f t="shared" si="106"/>
        <v>5.4</v>
      </c>
      <c r="AQ172" t="str">
        <f t="shared" ca="1" si="107"/>
        <v/>
      </c>
    </row>
    <row r="173" spans="1:43" x14ac:dyDescent="0.3">
      <c r="A173" t="s">
        <v>240</v>
      </c>
      <c r="B173" t="s">
        <v>278</v>
      </c>
      <c r="C173" t="s">
        <v>279</v>
      </c>
      <c r="D173" t="s">
        <v>280</v>
      </c>
      <c r="E173" t="s">
        <v>57</v>
      </c>
      <c r="L173" t="s">
        <v>45</v>
      </c>
      <c r="M173" t="s">
        <v>45</v>
      </c>
      <c r="N173" t="s">
        <v>45</v>
      </c>
      <c r="O173" t="s">
        <v>45</v>
      </c>
      <c r="S173">
        <v>0.4</v>
      </c>
      <c r="X173" t="str">
        <f t="shared" si="108"/>
        <v>No</v>
      </c>
      <c r="Y173" t="s">
        <v>167</v>
      </c>
      <c r="AB173">
        <f t="shared" si="109"/>
        <v>60</v>
      </c>
      <c r="AD173">
        <f t="shared" si="110"/>
        <v>3</v>
      </c>
      <c r="AE173" t="str">
        <f t="shared" ca="1" si="102"/>
        <v/>
      </c>
      <c r="AI173">
        <v>6.15</v>
      </c>
      <c r="AJ173">
        <v>13.97</v>
      </c>
      <c r="AK173" t="s">
        <v>6</v>
      </c>
      <c r="AL173" s="5">
        <f t="shared" ca="1" si="103"/>
        <v>2.3292351814517966E-2</v>
      </c>
      <c r="AM173" t="str">
        <f t="shared" si="104"/>
        <v>Yes</v>
      </c>
      <c r="AN173" s="7" t="str">
        <f t="shared" ca="1" si="105"/>
        <v>12:33 AM</v>
      </c>
      <c r="AO173">
        <v>71</v>
      </c>
      <c r="AP173">
        <f t="shared" si="106"/>
        <v>8.5</v>
      </c>
      <c r="AQ173" t="str">
        <f t="shared" ca="1" si="107"/>
        <v/>
      </c>
    </row>
    <row r="174" spans="1:43" x14ac:dyDescent="0.3">
      <c r="A174" t="s">
        <v>240</v>
      </c>
      <c r="B174" t="s">
        <v>281</v>
      </c>
      <c r="C174" t="s">
        <v>282</v>
      </c>
      <c r="D174" t="s">
        <v>109</v>
      </c>
      <c r="E174" t="s">
        <v>57</v>
      </c>
      <c r="M174" t="s">
        <v>45</v>
      </c>
      <c r="N174" t="s">
        <v>45</v>
      </c>
      <c r="O174" t="s">
        <v>45</v>
      </c>
      <c r="S174">
        <v>70</v>
      </c>
      <c r="X174" t="str">
        <f t="shared" si="108"/>
        <v>No</v>
      </c>
      <c r="Y174" t="s">
        <v>46</v>
      </c>
      <c r="AB174">
        <f t="shared" si="109"/>
        <v>90</v>
      </c>
      <c r="AD174">
        <f t="shared" si="110"/>
        <v>10</v>
      </c>
      <c r="AE174" t="str">
        <f t="shared" ca="1" si="102"/>
        <v/>
      </c>
      <c r="AI174">
        <v>6.15</v>
      </c>
      <c r="AJ174">
        <v>20.399999999999999</v>
      </c>
      <c r="AK174" t="s">
        <v>6</v>
      </c>
      <c r="AL174" s="5">
        <f t="shared" ca="1" si="103"/>
        <v>2.3292351814517966E-2</v>
      </c>
      <c r="AM174" t="str">
        <f t="shared" si="104"/>
        <v>Yes</v>
      </c>
      <c r="AN174" s="7" t="str">
        <f t="shared" ca="1" si="105"/>
        <v>12:33 AM</v>
      </c>
      <c r="AO174">
        <v>77.400000000000006</v>
      </c>
      <c r="AP174">
        <f t="shared" si="106"/>
        <v>9.6</v>
      </c>
      <c r="AQ174" t="str">
        <f t="shared" ca="1" si="107"/>
        <v/>
      </c>
    </row>
    <row r="175" spans="1:43" x14ac:dyDescent="0.3">
      <c r="A175" t="s">
        <v>240</v>
      </c>
      <c r="B175" t="s">
        <v>335</v>
      </c>
      <c r="C175" t="s">
        <v>336</v>
      </c>
      <c r="D175" t="s">
        <v>395</v>
      </c>
      <c r="E175" t="s">
        <v>57</v>
      </c>
      <c r="G175" t="s">
        <v>45</v>
      </c>
      <c r="H175" t="s">
        <v>45</v>
      </c>
      <c r="I175" t="s">
        <v>45</v>
      </c>
      <c r="S175">
        <v>90</v>
      </c>
      <c r="T175">
        <v>180</v>
      </c>
      <c r="V175" t="s">
        <v>57</v>
      </c>
      <c r="W175">
        <v>3</v>
      </c>
      <c r="X175" t="s">
        <v>44</v>
      </c>
      <c r="Y175" t="s">
        <v>46</v>
      </c>
      <c r="Z175" t="s">
        <v>389</v>
      </c>
      <c r="AA175" t="s">
        <v>48</v>
      </c>
      <c r="AB175">
        <v>180</v>
      </c>
      <c r="AD175">
        <v>5</v>
      </c>
      <c r="AE175" t="str">
        <f t="shared" ca="1" si="102"/>
        <v/>
      </c>
      <c r="AG175" t="s">
        <v>12</v>
      </c>
      <c r="AH175" t="s">
        <v>12</v>
      </c>
      <c r="AI175">
        <v>20.966699999999999</v>
      </c>
      <c r="AJ175" s="3">
        <v>44.332999999999998</v>
      </c>
      <c r="AK175" t="s">
        <v>12</v>
      </c>
      <c r="AL175" s="5">
        <f t="shared" ca="1" si="103"/>
        <v>0.63896918445784545</v>
      </c>
      <c r="AM175" t="str">
        <f t="shared" si="104"/>
        <v>Yes</v>
      </c>
      <c r="AN175" s="7" t="str">
        <f t="shared" ca="1" si="105"/>
        <v>3:20 PM</v>
      </c>
      <c r="AO175" s="3">
        <v>70</v>
      </c>
      <c r="AP175">
        <f t="shared" si="106"/>
        <v>8.3000000000000007</v>
      </c>
      <c r="AQ175" t="str">
        <f t="shared" ca="1" si="107"/>
        <v/>
      </c>
    </row>
    <row r="176" spans="1:43" x14ac:dyDescent="0.3">
      <c r="A176" t="s">
        <v>240</v>
      </c>
      <c r="B176" t="s">
        <v>283</v>
      </c>
      <c r="C176" t="s">
        <v>197</v>
      </c>
      <c r="D176" t="s">
        <v>115</v>
      </c>
      <c r="E176" t="s">
        <v>57</v>
      </c>
      <c r="N176" t="s">
        <v>45</v>
      </c>
      <c r="O176" t="s">
        <v>45</v>
      </c>
      <c r="P176" t="s">
        <v>45</v>
      </c>
      <c r="Q176" t="s">
        <v>45</v>
      </c>
      <c r="S176">
        <v>10</v>
      </c>
      <c r="X176" t="str">
        <f>IF(S176="", "", IF(S176&gt;78,"Yes","No"))</f>
        <v>No</v>
      </c>
      <c r="Y176" t="s">
        <v>197</v>
      </c>
      <c r="AB176">
        <f>IF(Y176="Emission Nebula",90,IF(Y176="Reflection Nebula",75,IF(Y176="Planetary Nebula",60,IF(Y176="Galaxy",90,IF(Y176="Globular Cluster",30,IF(Y176="Open Cluster",20,IF(Y176="Comet",20,IF(Y176="Planet",10,IF(Y176="Star",5,45)))))))))</f>
        <v>75</v>
      </c>
      <c r="AD176">
        <f>MAX(1,MIN(10,ROUND((IF(S176="",5,IF(S176&lt;3,2,IF(S176&lt;10,4,IF(S176&lt;=70,8,IF(S176&lt;=100,6,4))))))+IF(Y176="Emission Nebula",2,IF(Y176="Open Cluster",2,IF(Y176="Globular Cluster",2,IF(Y176="Reflection Nebula",1,IF(Y176="Planetary Nebula",1,IF(Y176="Comet",1,0))))))+IF(Z176="High (easy)",2,IF(Z176="Medium",1,IF(Z176="Low (hard)",-1,0)))+IF(AA176="High (OK with Moon)",2,IF(AA176="Medium",0,IF(AA176="Low (needs dark)",-2,0)))+IF(AC176="High (best &gt;50°)",1,IF(AC176="Medium",0,IF(AC176="Low (OK)",-1,0))),0)))</f>
        <v>9</v>
      </c>
      <c r="AE176" t="str">
        <f t="shared" ca="1" si="102"/>
        <v/>
      </c>
      <c r="AI176">
        <v>6.68</v>
      </c>
      <c r="AJ176">
        <v>9.9</v>
      </c>
      <c r="AK176" t="s">
        <v>6</v>
      </c>
      <c r="AL176" s="5">
        <f t="shared" ca="1" si="103"/>
        <v>4.5315388070969347E-2</v>
      </c>
      <c r="AM176" t="str">
        <f t="shared" si="104"/>
        <v>Yes</v>
      </c>
      <c r="AN176" s="7" t="str">
        <f t="shared" ca="1" si="105"/>
        <v>1:05 AM</v>
      </c>
      <c r="AO176">
        <v>66.900000000000006</v>
      </c>
      <c r="AP176">
        <f t="shared" si="106"/>
        <v>7.8</v>
      </c>
      <c r="AQ176" t="str">
        <f t="shared" ca="1" si="107"/>
        <v/>
      </c>
    </row>
    <row r="177" spans="1:43" x14ac:dyDescent="0.3">
      <c r="A177" t="s">
        <v>240</v>
      </c>
      <c r="B177" t="s">
        <v>284</v>
      </c>
      <c r="C177" t="s">
        <v>285</v>
      </c>
      <c r="D177" t="s">
        <v>286</v>
      </c>
      <c r="E177" t="s">
        <v>57</v>
      </c>
      <c r="O177" t="s">
        <v>45</v>
      </c>
      <c r="P177" t="s">
        <v>45</v>
      </c>
      <c r="Q177" t="s">
        <v>45</v>
      </c>
      <c r="S177">
        <v>5</v>
      </c>
      <c r="X177" t="str">
        <f>IF(S177="", "", IF(S177&gt;78,"Yes","No"))</f>
        <v>No</v>
      </c>
      <c r="Y177" t="s">
        <v>116</v>
      </c>
      <c r="AB177">
        <f>IF(Y177="Emission Nebula",90,IF(Y177="Reflection Nebula",75,IF(Y177="Planetary Nebula",60,IF(Y177="Galaxy",90,IF(Y177="Globular Cluster",30,IF(Y177="Open Cluster",20,IF(Y177="Comet",20,IF(Y177="Planet",10,IF(Y177="Star",5,45)))))))))</f>
        <v>90</v>
      </c>
      <c r="AD177">
        <f>MAX(1,MIN(10,ROUND((IF(S177="",5,IF(S177&lt;3,2,IF(S177&lt;10,4,IF(S177&lt;=70,8,IF(S177&lt;=100,6,4))))))+IF(Y177="Emission Nebula",2,IF(Y177="Open Cluster",2,IF(Y177="Globular Cluster",2,IF(Y177="Reflection Nebula",1,IF(Y177="Planetary Nebula",1,IF(Y177="Comet",1,0))))))+IF(Z177="High (easy)",2,IF(Z177="Medium",1,IF(Z177="Low (hard)",-1,0)))+IF(AA177="High (OK with Moon)",2,IF(AA177="Medium",0,IF(AA177="Low (needs dark)",-2,0)))+IF(AC177="High (best &gt;50°)",1,IF(AC177="Medium",0,IF(AC177="Low (OK)",-1,0))),0)))</f>
        <v>4</v>
      </c>
      <c r="AE177" t="str">
        <f t="shared" ca="1" si="102"/>
        <v/>
      </c>
      <c r="AI177">
        <v>6.62</v>
      </c>
      <c r="AJ177">
        <v>9.57</v>
      </c>
      <c r="AK177" t="s">
        <v>6</v>
      </c>
      <c r="AL177" s="5">
        <f t="shared" ca="1" si="103"/>
        <v>4.2822214155144672E-2</v>
      </c>
      <c r="AM177" t="str">
        <f t="shared" si="104"/>
        <v>Yes</v>
      </c>
      <c r="AN177" s="7" t="str">
        <f t="shared" ca="1" si="105"/>
        <v>1:01 AM</v>
      </c>
      <c r="AO177">
        <v>66.599999999999994</v>
      </c>
      <c r="AP177">
        <f t="shared" si="106"/>
        <v>7.8</v>
      </c>
      <c r="AQ177" t="str">
        <f t="shared" ca="1" si="107"/>
        <v/>
      </c>
    </row>
    <row r="178" spans="1:43" x14ac:dyDescent="0.3">
      <c r="A178" t="s">
        <v>240</v>
      </c>
      <c r="B178" t="s">
        <v>244</v>
      </c>
      <c r="C178" t="s">
        <v>245</v>
      </c>
      <c r="D178" t="s">
        <v>243</v>
      </c>
      <c r="E178" t="s">
        <v>57</v>
      </c>
      <c r="G178" t="s">
        <v>45</v>
      </c>
      <c r="P178" t="s">
        <v>45</v>
      </c>
      <c r="Q178" t="s">
        <v>45</v>
      </c>
      <c r="R178" t="s">
        <v>45</v>
      </c>
      <c r="S178">
        <v>30</v>
      </c>
      <c r="X178" t="str">
        <f>IF(S178="", "", IF(S178&gt;78,"Yes","No"))</f>
        <v>No</v>
      </c>
      <c r="Y178" t="s">
        <v>70</v>
      </c>
      <c r="AB178">
        <f>IF(Y178="Emission Nebula",90,IF(Y178="Reflection Nebula",75,IF(Y178="Planetary Nebula",60,IF(Y178="Galaxy",90,IF(Y178="Globular Cluster",30,IF(Y178="Open Cluster",20,IF(Y178="Comet",20,IF(Y178="Planet",10,IF(Y178="Star",5,45)))))))))</f>
        <v>20</v>
      </c>
      <c r="AD178">
        <f>MAX(1,MIN(10,ROUND((IF(S178="",5,IF(S178&lt;3,2,IF(S178&lt;10,4,IF(S178&lt;=70,8,IF(S178&lt;=100,6,4))))))+IF(Y178="Emission Nebula",2,IF(Y178="Open Cluster",2,IF(Y178="Globular Cluster",2,IF(Y178="Reflection Nebula",1,IF(Y178="Planetary Nebula",1,IF(Y178="Comet",1,0))))))+IF(Z178="High (easy)",2,IF(Z178="Medium",1,IF(Z178="Low (hard)",-1,0)))+IF(AA178="High (OK with Moon)",2,IF(AA178="Medium",0,IF(AA178="Low (needs dark)",-2,0)))+IF(AC178="High (best &gt;50°)",1,IF(AC178="Medium",0,IF(AC178="Low (OK)",-1,0))),0)))</f>
        <v>10</v>
      </c>
      <c r="AE178" t="str">
        <f t="shared" ca="1" si="102"/>
        <v/>
      </c>
      <c r="AI178">
        <v>5.37</v>
      </c>
      <c r="AJ178">
        <v>33.58</v>
      </c>
      <c r="AK178" t="s">
        <v>6</v>
      </c>
      <c r="AL178" s="5">
        <f t="shared" ca="1" si="103"/>
        <v>0.99088109090879695</v>
      </c>
      <c r="AM178" t="str">
        <f t="shared" si="104"/>
        <v>Yes</v>
      </c>
      <c r="AN178" s="7" t="str">
        <f t="shared" ca="1" si="105"/>
        <v>11:46 PM</v>
      </c>
      <c r="AO178">
        <v>89</v>
      </c>
      <c r="AP178">
        <f t="shared" si="106"/>
        <v>10</v>
      </c>
      <c r="AQ178" t="str">
        <f t="shared" ca="1" si="107"/>
        <v/>
      </c>
    </row>
    <row r="179" spans="1:43" x14ac:dyDescent="0.3">
      <c r="B179" t="s">
        <v>409</v>
      </c>
      <c r="E179" t="s">
        <v>44</v>
      </c>
    </row>
  </sheetData>
  <autoFilter ref="A1:AE162" xr:uid="{00000000-0009-0000-0000-000000000000}">
    <filterColumn colId="4">
      <filters>
        <filter val="No"/>
      </filters>
    </filterColumn>
    <sortState xmlns:xlrd2="http://schemas.microsoft.com/office/spreadsheetml/2017/richdata2" ref="A2:AE154">
      <sortCondition ref="B1:B154"/>
    </sortState>
  </autoFilter>
  <sortState xmlns:xlrd2="http://schemas.microsoft.com/office/spreadsheetml/2017/richdata2" ref="A1:AO179">
    <sortCondition ref="A1:A179"/>
    <sortCondition ref="B1:B179"/>
  </sortState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31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40</v>
      </c>
      <c r="B2" t="s">
        <v>41</v>
      </c>
      <c r="C2" t="s">
        <v>42</v>
      </c>
      <c r="D2" t="s">
        <v>43</v>
      </c>
      <c r="E2" t="s">
        <v>44</v>
      </c>
      <c r="G2" t="s">
        <v>45</v>
      </c>
      <c r="H2" t="s">
        <v>45</v>
      </c>
      <c r="I2" t="s">
        <v>45</v>
      </c>
      <c r="J2" t="s">
        <v>45</v>
      </c>
      <c r="R2" t="s">
        <v>45</v>
      </c>
      <c r="Y2" t="s">
        <v>46</v>
      </c>
      <c r="AB2">
        <f t="shared" ref="AB2:AB33" si="0">IF(Y2="Emission Nebula",90,IF(Y2="Reflection Nebula",75,IF(Y2="Planetary Nebula",60,IF(Y2="Galaxy",90,IF(Y2="Globular Cluster",30,IF(Y2="Open Cluster",20,IF(Y2="Comet",20,IF(Y2="Planet",10,IF(Y2="Star",5,45)))))))))</f>
        <v>90</v>
      </c>
      <c r="AD2">
        <f t="shared" ref="AD2:AD33" si="1">MAX(1,MIN(10,ROUND((IF(S2="",5,IF(S2&lt;3,2,IF(S2&lt;10,4,IF(S2&lt;=70,8,IF(S2&lt;=100,6,4))))))+IF(Y2="Emission Nebula",2,IF(Y2="Open Cluster",2,IF(Y2="Globular Cluster",2,IF(Y2="Reflection Nebula",1,IF(Y2="Planetary Nebula",1,IF(Y2="Comet",1,0))))))+IF(Z2="High (easy)",2,IF(Z2="Medium",1,IF(Z2="Low (hard)",-1,0)))+IF(AA2="High (OK with Moon)",2,IF(AA2="Medium",0,IF(AA2="Low (needs dark)",-2,0)))+IF(AC2="High (best &gt;50°)",1,IF(AC2="Medium",0,IF(AC2="Low (OK)",-1,0))),0)))</f>
        <v>7</v>
      </c>
      <c r="AE2" t="str">
        <f t="shared" ref="AE2:AE33" si="2">IF(AND(G2="✔",AD2&gt;=7,OR(V2&lt;&gt;"No",V2=""),OR(X2="No",X2="")),"⭐ PICK","")</f>
        <v>⭐ PICK</v>
      </c>
    </row>
    <row r="3" spans="1:31" x14ac:dyDescent="0.3">
      <c r="A3" t="s">
        <v>40</v>
      </c>
      <c r="B3" t="s">
        <v>53</v>
      </c>
      <c r="C3" t="s">
        <v>54</v>
      </c>
      <c r="D3" t="s">
        <v>55</v>
      </c>
      <c r="E3" t="s">
        <v>44</v>
      </c>
      <c r="M3" t="s">
        <v>45</v>
      </c>
      <c r="N3" t="s">
        <v>45</v>
      </c>
      <c r="O3" t="s">
        <v>45</v>
      </c>
      <c r="P3" t="s">
        <v>45</v>
      </c>
      <c r="Q3" t="s">
        <v>45</v>
      </c>
      <c r="Y3" t="s">
        <v>54</v>
      </c>
      <c r="AB3">
        <f t="shared" si="0"/>
        <v>30</v>
      </c>
      <c r="AD3">
        <f t="shared" si="1"/>
        <v>7</v>
      </c>
      <c r="AE3" t="str">
        <f t="shared" si="2"/>
        <v/>
      </c>
    </row>
    <row r="4" spans="1:31" x14ac:dyDescent="0.3">
      <c r="A4" t="s">
        <v>40</v>
      </c>
      <c r="B4" t="s">
        <v>63</v>
      </c>
      <c r="C4" t="s">
        <v>54</v>
      </c>
      <c r="D4" t="s">
        <v>60</v>
      </c>
      <c r="E4" t="s">
        <v>44</v>
      </c>
      <c r="J4" t="s">
        <v>45</v>
      </c>
      <c r="K4" t="s">
        <v>45</v>
      </c>
      <c r="L4" t="s">
        <v>45</v>
      </c>
      <c r="M4" t="s">
        <v>45</v>
      </c>
      <c r="N4" t="s">
        <v>45</v>
      </c>
      <c r="Y4" t="s">
        <v>54</v>
      </c>
      <c r="AB4">
        <f t="shared" si="0"/>
        <v>30</v>
      </c>
      <c r="AD4">
        <f t="shared" si="1"/>
        <v>7</v>
      </c>
      <c r="AE4" t="str">
        <f t="shared" si="2"/>
        <v/>
      </c>
    </row>
    <row r="5" spans="1:31" x14ac:dyDescent="0.3">
      <c r="A5" t="s">
        <v>40</v>
      </c>
      <c r="B5" t="s">
        <v>65</v>
      </c>
      <c r="C5" t="s">
        <v>54</v>
      </c>
      <c r="D5" t="s">
        <v>60</v>
      </c>
      <c r="E5" t="s">
        <v>44</v>
      </c>
      <c r="J5" t="s">
        <v>45</v>
      </c>
      <c r="K5" t="s">
        <v>45</v>
      </c>
      <c r="L5" t="s">
        <v>45</v>
      </c>
      <c r="M5" t="s">
        <v>45</v>
      </c>
      <c r="N5" t="s">
        <v>45</v>
      </c>
      <c r="Y5" t="s">
        <v>54</v>
      </c>
      <c r="AB5">
        <f t="shared" si="0"/>
        <v>30</v>
      </c>
      <c r="AD5">
        <f t="shared" si="1"/>
        <v>7</v>
      </c>
      <c r="AE5" t="str">
        <f t="shared" si="2"/>
        <v/>
      </c>
    </row>
    <row r="6" spans="1:31" x14ac:dyDescent="0.3">
      <c r="A6" t="s">
        <v>40</v>
      </c>
      <c r="B6" t="s">
        <v>74</v>
      </c>
      <c r="C6" t="s">
        <v>75</v>
      </c>
      <c r="D6" t="s">
        <v>76</v>
      </c>
      <c r="E6" t="s">
        <v>44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Y6" t="s">
        <v>46</v>
      </c>
      <c r="AB6">
        <f t="shared" si="0"/>
        <v>90</v>
      </c>
      <c r="AD6">
        <f t="shared" si="1"/>
        <v>7</v>
      </c>
      <c r="AE6" t="str">
        <f t="shared" si="2"/>
        <v/>
      </c>
    </row>
    <row r="7" spans="1:31" x14ac:dyDescent="0.3">
      <c r="A7" t="s">
        <v>40</v>
      </c>
      <c r="B7" t="s">
        <v>81</v>
      </c>
      <c r="C7" t="s">
        <v>82</v>
      </c>
      <c r="D7" t="s">
        <v>76</v>
      </c>
      <c r="E7" t="s">
        <v>44</v>
      </c>
      <c r="K7" t="s">
        <v>45</v>
      </c>
      <c r="L7" t="s">
        <v>45</v>
      </c>
      <c r="M7" t="s">
        <v>45</v>
      </c>
      <c r="N7" t="s">
        <v>45</v>
      </c>
      <c r="O7" t="s">
        <v>45</v>
      </c>
      <c r="Y7" t="s">
        <v>70</v>
      </c>
      <c r="AB7">
        <f t="shared" si="0"/>
        <v>20</v>
      </c>
      <c r="AD7">
        <f t="shared" si="1"/>
        <v>7</v>
      </c>
      <c r="AE7" t="str">
        <f t="shared" si="2"/>
        <v/>
      </c>
    </row>
    <row r="8" spans="1:31" x14ac:dyDescent="0.3">
      <c r="A8" t="s">
        <v>40</v>
      </c>
      <c r="B8" t="s">
        <v>85</v>
      </c>
      <c r="C8" t="s">
        <v>86</v>
      </c>
      <c r="D8" t="s">
        <v>60</v>
      </c>
      <c r="E8" t="s">
        <v>44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AB8">
        <f t="shared" si="0"/>
        <v>45</v>
      </c>
      <c r="AD8">
        <f t="shared" si="1"/>
        <v>5</v>
      </c>
      <c r="AE8" t="str">
        <f t="shared" si="2"/>
        <v/>
      </c>
    </row>
    <row r="9" spans="1:31" x14ac:dyDescent="0.3">
      <c r="A9" t="s">
        <v>40</v>
      </c>
      <c r="B9" t="s">
        <v>90</v>
      </c>
      <c r="C9" t="s">
        <v>91</v>
      </c>
      <c r="D9" t="s">
        <v>76</v>
      </c>
      <c r="E9" t="s">
        <v>44</v>
      </c>
      <c r="K9" t="s">
        <v>45</v>
      </c>
      <c r="L9" t="s">
        <v>45</v>
      </c>
      <c r="M9" t="s">
        <v>45</v>
      </c>
      <c r="N9" t="s">
        <v>45</v>
      </c>
      <c r="O9" t="s">
        <v>45</v>
      </c>
      <c r="Y9" t="s">
        <v>46</v>
      </c>
      <c r="AB9">
        <f t="shared" si="0"/>
        <v>90</v>
      </c>
      <c r="AD9">
        <f t="shared" si="1"/>
        <v>7</v>
      </c>
      <c r="AE9" t="str">
        <f t="shared" si="2"/>
        <v/>
      </c>
    </row>
    <row r="10" spans="1:31" x14ac:dyDescent="0.3">
      <c r="A10" t="s">
        <v>40</v>
      </c>
      <c r="B10" t="s">
        <v>92</v>
      </c>
      <c r="C10" t="s">
        <v>93</v>
      </c>
      <c r="D10" t="s">
        <v>76</v>
      </c>
      <c r="E10" t="s">
        <v>44</v>
      </c>
      <c r="K10" t="s">
        <v>45</v>
      </c>
      <c r="L10" t="s">
        <v>45</v>
      </c>
      <c r="M10" t="s">
        <v>45</v>
      </c>
      <c r="N10" t="s">
        <v>45</v>
      </c>
      <c r="O10" t="s">
        <v>45</v>
      </c>
      <c r="Y10" t="s">
        <v>46</v>
      </c>
      <c r="AB10">
        <f t="shared" si="0"/>
        <v>90</v>
      </c>
      <c r="AD10">
        <f t="shared" si="1"/>
        <v>7</v>
      </c>
      <c r="AE10" t="str">
        <f t="shared" si="2"/>
        <v/>
      </c>
    </row>
    <row r="11" spans="1:31" x14ac:dyDescent="0.3">
      <c r="A11" t="s">
        <v>40</v>
      </c>
      <c r="B11" t="s">
        <v>107</v>
      </c>
      <c r="C11" t="s">
        <v>108</v>
      </c>
      <c r="D11" t="s">
        <v>109</v>
      </c>
      <c r="E11" t="s">
        <v>44</v>
      </c>
      <c r="L11" t="s">
        <v>45</v>
      </c>
      <c r="M11" t="s">
        <v>45</v>
      </c>
      <c r="N11" t="s">
        <v>45</v>
      </c>
      <c r="O11" t="s">
        <v>45</v>
      </c>
      <c r="P11" t="s">
        <v>45</v>
      </c>
      <c r="Y11" t="s">
        <v>46</v>
      </c>
      <c r="AB11">
        <f t="shared" si="0"/>
        <v>90</v>
      </c>
      <c r="AD11">
        <f t="shared" si="1"/>
        <v>7</v>
      </c>
      <c r="AE11" t="str">
        <f t="shared" si="2"/>
        <v/>
      </c>
    </row>
    <row r="12" spans="1:31" x14ac:dyDescent="0.3">
      <c r="A12" t="s">
        <v>40</v>
      </c>
      <c r="B12" t="s">
        <v>113</v>
      </c>
      <c r="C12" t="s">
        <v>114</v>
      </c>
      <c r="D12" t="s">
        <v>115</v>
      </c>
      <c r="E12" t="s">
        <v>44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>
        <v>190</v>
      </c>
      <c r="W12">
        <v>3</v>
      </c>
      <c r="X12" t="s">
        <v>44</v>
      </c>
      <c r="Y12" t="s">
        <v>116</v>
      </c>
      <c r="AB12">
        <f t="shared" si="0"/>
        <v>90</v>
      </c>
      <c r="AD12">
        <f t="shared" si="1"/>
        <v>4</v>
      </c>
      <c r="AE12" t="str">
        <f t="shared" si="2"/>
        <v/>
      </c>
    </row>
    <row r="13" spans="1:31" x14ac:dyDescent="0.3">
      <c r="A13" t="s">
        <v>40</v>
      </c>
      <c r="B13" t="s">
        <v>118</v>
      </c>
      <c r="C13" t="s">
        <v>119</v>
      </c>
      <c r="D13" t="s">
        <v>115</v>
      </c>
      <c r="E13" t="s">
        <v>44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AB13">
        <f t="shared" si="0"/>
        <v>45</v>
      </c>
      <c r="AD13">
        <f t="shared" si="1"/>
        <v>5</v>
      </c>
      <c r="AE13" t="str">
        <f t="shared" si="2"/>
        <v/>
      </c>
    </row>
    <row r="14" spans="1:31" x14ac:dyDescent="0.3">
      <c r="A14" t="s">
        <v>40</v>
      </c>
      <c r="B14" t="s">
        <v>120</v>
      </c>
      <c r="C14" t="s">
        <v>121</v>
      </c>
      <c r="D14" t="s">
        <v>115</v>
      </c>
      <c r="E14" t="s">
        <v>44</v>
      </c>
      <c r="M14" t="s">
        <v>45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Y14" t="s">
        <v>116</v>
      </c>
      <c r="AB14">
        <f t="shared" si="0"/>
        <v>90</v>
      </c>
      <c r="AD14">
        <f t="shared" si="1"/>
        <v>5</v>
      </c>
      <c r="AE14" t="str">
        <f t="shared" si="2"/>
        <v/>
      </c>
    </row>
    <row r="15" spans="1:31" x14ac:dyDescent="0.3">
      <c r="A15" t="s">
        <v>40</v>
      </c>
      <c r="B15" t="s">
        <v>122</v>
      </c>
      <c r="C15" t="s">
        <v>70</v>
      </c>
      <c r="D15" t="s">
        <v>123</v>
      </c>
      <c r="E15" t="s">
        <v>44</v>
      </c>
      <c r="G15" t="s">
        <v>45</v>
      </c>
      <c r="H15" t="s">
        <v>45</v>
      </c>
      <c r="O15" t="s">
        <v>45</v>
      </c>
      <c r="P15" t="s">
        <v>45</v>
      </c>
      <c r="Q15" t="s">
        <v>45</v>
      </c>
      <c r="R15" t="s">
        <v>45</v>
      </c>
      <c r="Y15" t="s">
        <v>70</v>
      </c>
      <c r="AB15">
        <f t="shared" si="0"/>
        <v>20</v>
      </c>
      <c r="AD15">
        <f t="shared" si="1"/>
        <v>7</v>
      </c>
      <c r="AE15" t="str">
        <f t="shared" si="2"/>
        <v>⭐ PICK</v>
      </c>
    </row>
    <row r="16" spans="1:31" x14ac:dyDescent="0.3">
      <c r="A16" t="s">
        <v>40</v>
      </c>
      <c r="B16" t="s">
        <v>124</v>
      </c>
      <c r="C16" t="s">
        <v>70</v>
      </c>
      <c r="D16" t="s">
        <v>125</v>
      </c>
      <c r="E16" t="s">
        <v>44</v>
      </c>
      <c r="G16" t="s">
        <v>45</v>
      </c>
      <c r="H16" t="s">
        <v>45</v>
      </c>
      <c r="I16" t="s">
        <v>45</v>
      </c>
      <c r="Q16" t="s">
        <v>45</v>
      </c>
      <c r="R16" t="s">
        <v>45</v>
      </c>
      <c r="Y16" t="s">
        <v>70</v>
      </c>
      <c r="AB16">
        <f t="shared" si="0"/>
        <v>20</v>
      </c>
      <c r="AD16">
        <f t="shared" si="1"/>
        <v>7</v>
      </c>
      <c r="AE16" t="str">
        <f t="shared" si="2"/>
        <v>⭐ PICK</v>
      </c>
    </row>
    <row r="17" spans="1:31" x14ac:dyDescent="0.3">
      <c r="A17" t="s">
        <v>40</v>
      </c>
      <c r="B17" t="s">
        <v>126</v>
      </c>
      <c r="C17" t="s">
        <v>70</v>
      </c>
      <c r="D17" t="s">
        <v>125</v>
      </c>
      <c r="E17" t="s">
        <v>44</v>
      </c>
      <c r="G17" t="s">
        <v>45</v>
      </c>
      <c r="H17" t="s">
        <v>45</v>
      </c>
      <c r="I17" t="s">
        <v>45</v>
      </c>
      <c r="Q17" t="s">
        <v>45</v>
      </c>
      <c r="R17" t="s">
        <v>45</v>
      </c>
      <c r="Y17" t="s">
        <v>70</v>
      </c>
      <c r="AB17">
        <f t="shared" si="0"/>
        <v>20</v>
      </c>
      <c r="AD17">
        <f t="shared" si="1"/>
        <v>7</v>
      </c>
      <c r="AE17" t="str">
        <f t="shared" si="2"/>
        <v>⭐ PICK</v>
      </c>
    </row>
    <row r="18" spans="1:31" x14ac:dyDescent="0.3">
      <c r="A18" t="s">
        <v>40</v>
      </c>
      <c r="B18" t="s">
        <v>127</v>
      </c>
      <c r="C18" t="s">
        <v>70</v>
      </c>
      <c r="D18" t="s">
        <v>125</v>
      </c>
      <c r="E18" t="s">
        <v>44</v>
      </c>
      <c r="G18" t="s">
        <v>45</v>
      </c>
      <c r="H18" t="s">
        <v>45</v>
      </c>
      <c r="I18" t="s">
        <v>45</v>
      </c>
      <c r="Q18" t="s">
        <v>45</v>
      </c>
      <c r="R18" t="s">
        <v>45</v>
      </c>
      <c r="Y18" t="s">
        <v>70</v>
      </c>
      <c r="AB18">
        <f t="shared" si="0"/>
        <v>20</v>
      </c>
      <c r="AD18">
        <f t="shared" si="1"/>
        <v>7</v>
      </c>
      <c r="AE18" t="str">
        <f t="shared" si="2"/>
        <v>⭐ PICK</v>
      </c>
    </row>
    <row r="19" spans="1:31" x14ac:dyDescent="0.3">
      <c r="A19" t="s">
        <v>40</v>
      </c>
      <c r="B19" t="s">
        <v>128</v>
      </c>
      <c r="C19" t="s">
        <v>70</v>
      </c>
      <c r="D19" t="s">
        <v>125</v>
      </c>
      <c r="E19" t="s">
        <v>44</v>
      </c>
      <c r="G19" t="s">
        <v>45</v>
      </c>
      <c r="H19" t="s">
        <v>45</v>
      </c>
      <c r="I19" t="s">
        <v>45</v>
      </c>
      <c r="Q19" t="s">
        <v>45</v>
      </c>
      <c r="R19" t="s">
        <v>45</v>
      </c>
      <c r="Y19" t="s">
        <v>70</v>
      </c>
      <c r="AB19">
        <f t="shared" si="0"/>
        <v>20</v>
      </c>
      <c r="AD19">
        <f t="shared" si="1"/>
        <v>7</v>
      </c>
      <c r="AE19" t="str">
        <f t="shared" si="2"/>
        <v>⭐ PICK</v>
      </c>
    </row>
    <row r="20" spans="1:31" x14ac:dyDescent="0.3">
      <c r="A20" t="s">
        <v>40</v>
      </c>
      <c r="B20" t="s">
        <v>130</v>
      </c>
      <c r="C20" t="s">
        <v>131</v>
      </c>
      <c r="D20" t="s">
        <v>132</v>
      </c>
      <c r="E20" t="s">
        <v>44</v>
      </c>
      <c r="AB20">
        <f t="shared" si="0"/>
        <v>45</v>
      </c>
      <c r="AD20">
        <f t="shared" si="1"/>
        <v>5</v>
      </c>
      <c r="AE20" t="str">
        <f t="shared" si="2"/>
        <v/>
      </c>
    </row>
    <row r="21" spans="1:31" x14ac:dyDescent="0.3">
      <c r="A21" t="s">
        <v>40</v>
      </c>
      <c r="B21" t="s">
        <v>133</v>
      </c>
      <c r="C21" t="s">
        <v>70</v>
      </c>
      <c r="D21" t="s">
        <v>125</v>
      </c>
      <c r="E21" t="s">
        <v>44</v>
      </c>
      <c r="G21" t="s">
        <v>45</v>
      </c>
      <c r="H21" t="s">
        <v>45</v>
      </c>
      <c r="I21" t="s">
        <v>45</v>
      </c>
      <c r="Q21" t="s">
        <v>45</v>
      </c>
      <c r="R21" t="s">
        <v>45</v>
      </c>
      <c r="Y21" t="s">
        <v>70</v>
      </c>
      <c r="AB21">
        <f t="shared" si="0"/>
        <v>20</v>
      </c>
      <c r="AD21">
        <f t="shared" si="1"/>
        <v>7</v>
      </c>
      <c r="AE21" t="str">
        <f t="shared" si="2"/>
        <v>⭐ PICK</v>
      </c>
    </row>
    <row r="22" spans="1:31" x14ac:dyDescent="0.3">
      <c r="A22" t="s">
        <v>40</v>
      </c>
      <c r="B22" t="s">
        <v>134</v>
      </c>
      <c r="C22" t="s">
        <v>135</v>
      </c>
      <c r="D22" t="s">
        <v>136</v>
      </c>
      <c r="E22" t="s">
        <v>44</v>
      </c>
      <c r="G22" t="s">
        <v>45</v>
      </c>
      <c r="H22" t="s">
        <v>45</v>
      </c>
      <c r="I22" t="s">
        <v>45</v>
      </c>
      <c r="J22" t="s">
        <v>45</v>
      </c>
      <c r="Q22" t="s">
        <v>45</v>
      </c>
      <c r="R22" t="s">
        <v>45</v>
      </c>
      <c r="S22">
        <v>85</v>
      </c>
      <c r="W22">
        <v>4</v>
      </c>
      <c r="X22" t="s">
        <v>44</v>
      </c>
      <c r="Y22" t="s">
        <v>46</v>
      </c>
      <c r="AB22">
        <f t="shared" si="0"/>
        <v>90</v>
      </c>
      <c r="AD22">
        <f t="shared" si="1"/>
        <v>8</v>
      </c>
      <c r="AE22" t="str">
        <f t="shared" si="2"/>
        <v/>
      </c>
    </row>
    <row r="23" spans="1:31" x14ac:dyDescent="0.3">
      <c r="A23" t="s">
        <v>40</v>
      </c>
      <c r="B23" t="s">
        <v>139</v>
      </c>
      <c r="C23" t="s">
        <v>140</v>
      </c>
      <c r="D23" t="s">
        <v>141</v>
      </c>
      <c r="E23" t="s">
        <v>44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Y23" t="s">
        <v>70</v>
      </c>
      <c r="AB23">
        <f t="shared" si="0"/>
        <v>20</v>
      </c>
      <c r="AD23">
        <f t="shared" si="1"/>
        <v>7</v>
      </c>
      <c r="AE23" t="str">
        <f t="shared" si="2"/>
        <v>⭐ PICK</v>
      </c>
    </row>
    <row r="24" spans="1:31" x14ac:dyDescent="0.3">
      <c r="A24" t="s">
        <v>40</v>
      </c>
      <c r="B24" t="s">
        <v>142</v>
      </c>
      <c r="C24" t="s">
        <v>143</v>
      </c>
      <c r="D24" t="s">
        <v>144</v>
      </c>
      <c r="E24" t="s">
        <v>44</v>
      </c>
      <c r="G24" t="s">
        <v>45</v>
      </c>
      <c r="H24" t="s">
        <v>45</v>
      </c>
      <c r="I24" t="s">
        <v>45</v>
      </c>
      <c r="P24" t="s">
        <v>45</v>
      </c>
      <c r="Q24" t="s">
        <v>45</v>
      </c>
      <c r="R24" t="s">
        <v>45</v>
      </c>
      <c r="S24">
        <v>110</v>
      </c>
      <c r="W24">
        <v>3</v>
      </c>
      <c r="X24" t="s">
        <v>44</v>
      </c>
      <c r="AB24">
        <f t="shared" si="0"/>
        <v>45</v>
      </c>
      <c r="AD24">
        <f t="shared" si="1"/>
        <v>4</v>
      </c>
      <c r="AE24" t="str">
        <f t="shared" si="2"/>
        <v/>
      </c>
    </row>
    <row r="25" spans="1:31" x14ac:dyDescent="0.3">
      <c r="A25" t="s">
        <v>40</v>
      </c>
      <c r="B25" t="s">
        <v>146</v>
      </c>
      <c r="C25" t="s">
        <v>70</v>
      </c>
      <c r="D25" t="s">
        <v>43</v>
      </c>
      <c r="E25" t="s">
        <v>44</v>
      </c>
      <c r="G25" t="s">
        <v>45</v>
      </c>
      <c r="H25" t="s">
        <v>45</v>
      </c>
      <c r="I25" t="s">
        <v>45</v>
      </c>
      <c r="J25" t="s">
        <v>45</v>
      </c>
      <c r="R25" t="s">
        <v>45</v>
      </c>
      <c r="Y25" t="s">
        <v>70</v>
      </c>
      <c r="AB25">
        <f t="shared" si="0"/>
        <v>20</v>
      </c>
      <c r="AD25">
        <f t="shared" si="1"/>
        <v>7</v>
      </c>
      <c r="AE25" t="str">
        <f t="shared" si="2"/>
        <v>⭐ PICK</v>
      </c>
    </row>
    <row r="26" spans="1:31" x14ac:dyDescent="0.3">
      <c r="A26" t="s">
        <v>40</v>
      </c>
      <c r="B26" t="s">
        <v>148</v>
      </c>
      <c r="C26" t="s">
        <v>70</v>
      </c>
      <c r="D26" t="s">
        <v>43</v>
      </c>
      <c r="E26" t="s">
        <v>44</v>
      </c>
      <c r="G26" t="s">
        <v>45</v>
      </c>
      <c r="H26" t="s">
        <v>45</v>
      </c>
      <c r="I26" t="s">
        <v>45</v>
      </c>
      <c r="J26" t="s">
        <v>45</v>
      </c>
      <c r="R26" t="s">
        <v>45</v>
      </c>
      <c r="Y26" t="s">
        <v>70</v>
      </c>
      <c r="AB26">
        <f t="shared" si="0"/>
        <v>20</v>
      </c>
      <c r="AD26">
        <f t="shared" si="1"/>
        <v>7</v>
      </c>
      <c r="AE26" t="str">
        <f t="shared" si="2"/>
        <v>⭐ PICK</v>
      </c>
    </row>
    <row r="27" spans="1:31" x14ac:dyDescent="0.3">
      <c r="A27" t="s">
        <v>40</v>
      </c>
      <c r="B27" t="s">
        <v>149</v>
      </c>
      <c r="C27" t="s">
        <v>70</v>
      </c>
      <c r="D27" t="s">
        <v>141</v>
      </c>
      <c r="E27" t="s">
        <v>44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Y27" t="s">
        <v>70</v>
      </c>
      <c r="AB27">
        <f t="shared" si="0"/>
        <v>20</v>
      </c>
      <c r="AD27">
        <f t="shared" si="1"/>
        <v>7</v>
      </c>
      <c r="AE27" t="str">
        <f t="shared" si="2"/>
        <v>⭐ PICK</v>
      </c>
    </row>
    <row r="28" spans="1:31" x14ac:dyDescent="0.3">
      <c r="A28" t="s">
        <v>40</v>
      </c>
      <c r="B28" t="s">
        <v>153</v>
      </c>
      <c r="C28" t="s">
        <v>70</v>
      </c>
      <c r="D28" t="s">
        <v>125</v>
      </c>
      <c r="E28" t="s">
        <v>44</v>
      </c>
      <c r="G28" t="s">
        <v>45</v>
      </c>
      <c r="H28" t="s">
        <v>45</v>
      </c>
      <c r="I28" t="s">
        <v>45</v>
      </c>
      <c r="Q28" t="s">
        <v>45</v>
      </c>
      <c r="R28" t="s">
        <v>45</v>
      </c>
      <c r="Y28" t="s">
        <v>70</v>
      </c>
      <c r="AB28">
        <f t="shared" si="0"/>
        <v>20</v>
      </c>
      <c r="AD28">
        <f t="shared" si="1"/>
        <v>7</v>
      </c>
      <c r="AE28" t="str">
        <f t="shared" si="2"/>
        <v>⭐ PICK</v>
      </c>
    </row>
    <row r="29" spans="1:31" x14ac:dyDescent="0.3">
      <c r="A29" t="s">
        <v>40</v>
      </c>
      <c r="B29" t="s">
        <v>156</v>
      </c>
      <c r="C29" t="s">
        <v>157</v>
      </c>
      <c r="D29" t="s">
        <v>158</v>
      </c>
      <c r="E29" t="s">
        <v>44</v>
      </c>
      <c r="I29" t="s">
        <v>45</v>
      </c>
      <c r="J29" t="s">
        <v>45</v>
      </c>
      <c r="K29" t="s">
        <v>45</v>
      </c>
      <c r="L29" t="s">
        <v>45</v>
      </c>
      <c r="M29" t="s">
        <v>45</v>
      </c>
      <c r="S29">
        <v>11</v>
      </c>
      <c r="W29">
        <v>5</v>
      </c>
      <c r="X29" t="s">
        <v>57</v>
      </c>
      <c r="Y29" t="s">
        <v>116</v>
      </c>
      <c r="AB29">
        <f t="shared" si="0"/>
        <v>90</v>
      </c>
      <c r="AD29">
        <f t="shared" si="1"/>
        <v>8</v>
      </c>
      <c r="AE29" t="str">
        <f t="shared" si="2"/>
        <v/>
      </c>
    </row>
    <row r="30" spans="1:31" x14ac:dyDescent="0.3">
      <c r="A30" t="s">
        <v>40</v>
      </c>
      <c r="B30" t="s">
        <v>173</v>
      </c>
      <c r="C30" t="s">
        <v>174</v>
      </c>
      <c r="D30" t="s">
        <v>158</v>
      </c>
      <c r="E30" t="s">
        <v>44</v>
      </c>
      <c r="I30" t="s">
        <v>45</v>
      </c>
      <c r="J30" t="s">
        <v>45</v>
      </c>
      <c r="K30" t="s">
        <v>45</v>
      </c>
      <c r="L30" t="s">
        <v>45</v>
      </c>
      <c r="M30" t="s">
        <v>45</v>
      </c>
      <c r="Y30" t="s">
        <v>116</v>
      </c>
      <c r="AB30">
        <f t="shared" si="0"/>
        <v>90</v>
      </c>
      <c r="AD30">
        <f t="shared" si="1"/>
        <v>5</v>
      </c>
      <c r="AE30" t="str">
        <f t="shared" si="2"/>
        <v/>
      </c>
    </row>
    <row r="31" spans="1:31" x14ac:dyDescent="0.3">
      <c r="A31" t="s">
        <v>40</v>
      </c>
      <c r="B31" t="s">
        <v>175</v>
      </c>
      <c r="C31" t="s">
        <v>176</v>
      </c>
      <c r="D31" t="s">
        <v>158</v>
      </c>
      <c r="E31" t="s">
        <v>44</v>
      </c>
      <c r="I31" t="s">
        <v>45</v>
      </c>
      <c r="J31" t="s">
        <v>45</v>
      </c>
      <c r="K31" t="s">
        <v>45</v>
      </c>
      <c r="L31" t="s">
        <v>45</v>
      </c>
      <c r="M31" t="s">
        <v>45</v>
      </c>
      <c r="Y31" t="s">
        <v>116</v>
      </c>
      <c r="AB31">
        <f t="shared" si="0"/>
        <v>90</v>
      </c>
      <c r="AD31">
        <f t="shared" si="1"/>
        <v>5</v>
      </c>
      <c r="AE31" t="str">
        <f t="shared" si="2"/>
        <v/>
      </c>
    </row>
    <row r="32" spans="1:31" x14ac:dyDescent="0.3">
      <c r="A32" t="s">
        <v>40</v>
      </c>
      <c r="B32" t="s">
        <v>181</v>
      </c>
      <c r="C32" t="s">
        <v>70</v>
      </c>
      <c r="D32" t="s">
        <v>141</v>
      </c>
      <c r="E32" t="s">
        <v>44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Y32" t="s">
        <v>70</v>
      </c>
      <c r="AB32">
        <f t="shared" si="0"/>
        <v>20</v>
      </c>
      <c r="AD32">
        <f t="shared" si="1"/>
        <v>7</v>
      </c>
      <c r="AE32" t="str">
        <f t="shared" si="2"/>
        <v>⭐ PICK</v>
      </c>
    </row>
    <row r="33" spans="1:31" x14ac:dyDescent="0.3">
      <c r="A33" t="s">
        <v>40</v>
      </c>
      <c r="B33" t="s">
        <v>189</v>
      </c>
      <c r="C33" t="s">
        <v>190</v>
      </c>
      <c r="D33" t="s">
        <v>123</v>
      </c>
      <c r="E33" t="s">
        <v>44</v>
      </c>
      <c r="G33" t="s">
        <v>45</v>
      </c>
      <c r="H33" t="s">
        <v>45</v>
      </c>
      <c r="O33" t="s">
        <v>45</v>
      </c>
      <c r="P33" t="s">
        <v>45</v>
      </c>
      <c r="Q33" t="s">
        <v>45</v>
      </c>
      <c r="R33" t="s">
        <v>45</v>
      </c>
      <c r="Y33" t="s">
        <v>116</v>
      </c>
      <c r="AB33">
        <f t="shared" si="0"/>
        <v>90</v>
      </c>
      <c r="AD33">
        <f t="shared" si="1"/>
        <v>5</v>
      </c>
      <c r="AE33" t="str">
        <f t="shared" si="2"/>
        <v/>
      </c>
    </row>
    <row r="34" spans="1:31" x14ac:dyDescent="0.3">
      <c r="A34" t="s">
        <v>40</v>
      </c>
      <c r="B34" t="s">
        <v>192</v>
      </c>
      <c r="C34" t="s">
        <v>193</v>
      </c>
      <c r="D34" t="s">
        <v>123</v>
      </c>
      <c r="E34" t="s">
        <v>44</v>
      </c>
      <c r="G34" t="s">
        <v>45</v>
      </c>
      <c r="H34" t="s">
        <v>45</v>
      </c>
      <c r="O34" t="s">
        <v>45</v>
      </c>
      <c r="P34" t="s">
        <v>45</v>
      </c>
      <c r="Q34" t="s">
        <v>45</v>
      </c>
      <c r="R34" t="s">
        <v>45</v>
      </c>
      <c r="AB34">
        <f t="shared" ref="AB34:AB65" si="3">IF(Y34="Emission Nebula",90,IF(Y34="Reflection Nebula",75,IF(Y34="Planetary Nebula",60,IF(Y34="Galaxy",90,IF(Y34="Globular Cluster",30,IF(Y34="Open Cluster",20,IF(Y34="Comet",20,IF(Y34="Planet",10,IF(Y34="Star",5,45)))))))))</f>
        <v>45</v>
      </c>
      <c r="AD34">
        <f t="shared" ref="AD34:AD65" si="4">MAX(1,MIN(10,ROUND((IF(S34="",5,IF(S34&lt;3,2,IF(S34&lt;10,4,IF(S34&lt;=70,8,IF(S34&lt;=100,6,4))))))+IF(Y34="Emission Nebula",2,IF(Y34="Open Cluster",2,IF(Y34="Globular Cluster",2,IF(Y34="Reflection Nebula",1,IF(Y34="Planetary Nebula",1,IF(Y34="Comet",1,0))))))+IF(Z34="High (easy)",2,IF(Z34="Medium",1,IF(Z34="Low (hard)",-1,0)))+IF(AA34="High (OK with Moon)",2,IF(AA34="Medium",0,IF(AA34="Low (needs dark)",-2,0)))+IF(AC34="High (best &gt;50°)",1,IF(AC34="Medium",0,IF(AC34="Low (OK)",-1,0))),0)))</f>
        <v>5</v>
      </c>
      <c r="AE34" t="str">
        <f t="shared" ref="AE34:AE65" si="5">IF(AND(G34="✔",AD34&gt;=7,OR(V34&lt;&gt;"No",V34=""),OR(X34="No",X34="")),"⭐ PICK","")</f>
        <v/>
      </c>
    </row>
    <row r="35" spans="1:31" x14ac:dyDescent="0.3">
      <c r="A35" t="s">
        <v>40</v>
      </c>
      <c r="B35" t="s">
        <v>194</v>
      </c>
      <c r="C35" t="s">
        <v>195</v>
      </c>
      <c r="D35" t="s">
        <v>123</v>
      </c>
      <c r="E35" t="s">
        <v>44</v>
      </c>
      <c r="G35" t="s">
        <v>45</v>
      </c>
      <c r="H35" t="s">
        <v>45</v>
      </c>
      <c r="O35" t="s">
        <v>45</v>
      </c>
      <c r="P35" t="s">
        <v>45</v>
      </c>
      <c r="Q35" t="s">
        <v>45</v>
      </c>
      <c r="R35" t="s">
        <v>45</v>
      </c>
      <c r="Y35" t="s">
        <v>116</v>
      </c>
      <c r="AB35">
        <f t="shared" si="3"/>
        <v>90</v>
      </c>
      <c r="AD35">
        <f t="shared" si="4"/>
        <v>5</v>
      </c>
      <c r="AE35" t="str">
        <f t="shared" si="5"/>
        <v/>
      </c>
    </row>
    <row r="36" spans="1:31" x14ac:dyDescent="0.3">
      <c r="A36" t="s">
        <v>40</v>
      </c>
      <c r="B36" t="s">
        <v>196</v>
      </c>
      <c r="C36" t="s">
        <v>197</v>
      </c>
      <c r="D36" t="s">
        <v>125</v>
      </c>
      <c r="E36" t="s">
        <v>44</v>
      </c>
      <c r="G36" t="s">
        <v>45</v>
      </c>
      <c r="H36" t="s">
        <v>45</v>
      </c>
      <c r="I36" t="s">
        <v>45</v>
      </c>
      <c r="Q36" t="s">
        <v>45</v>
      </c>
      <c r="R36" t="s">
        <v>45</v>
      </c>
      <c r="Y36" t="s">
        <v>197</v>
      </c>
      <c r="AB36">
        <f t="shared" si="3"/>
        <v>75</v>
      </c>
      <c r="AD36">
        <f t="shared" si="4"/>
        <v>6</v>
      </c>
      <c r="AE36" t="str">
        <f t="shared" si="5"/>
        <v/>
      </c>
    </row>
    <row r="37" spans="1:31" x14ac:dyDescent="0.3">
      <c r="A37" t="s">
        <v>40</v>
      </c>
      <c r="B37" t="s">
        <v>200</v>
      </c>
      <c r="C37" t="s">
        <v>201</v>
      </c>
      <c r="D37" t="s">
        <v>202</v>
      </c>
      <c r="E37" t="s">
        <v>44</v>
      </c>
      <c r="H37" t="s">
        <v>45</v>
      </c>
      <c r="I37" t="s">
        <v>45</v>
      </c>
      <c r="J37" t="s">
        <v>45</v>
      </c>
      <c r="K37" t="s">
        <v>45</v>
      </c>
      <c r="L37" t="s">
        <v>45</v>
      </c>
      <c r="S37">
        <v>27</v>
      </c>
      <c r="W37">
        <v>5</v>
      </c>
      <c r="X37" t="s">
        <v>57</v>
      </c>
      <c r="Y37" t="s">
        <v>116</v>
      </c>
      <c r="AB37">
        <f t="shared" si="3"/>
        <v>90</v>
      </c>
      <c r="AD37">
        <f t="shared" si="4"/>
        <v>8</v>
      </c>
      <c r="AE37" t="str">
        <f t="shared" si="5"/>
        <v/>
      </c>
    </row>
    <row r="38" spans="1:31" x14ac:dyDescent="0.3">
      <c r="A38" t="s">
        <v>40</v>
      </c>
      <c r="B38" t="s">
        <v>203</v>
      </c>
      <c r="C38" t="s">
        <v>204</v>
      </c>
      <c r="D38" t="s">
        <v>202</v>
      </c>
      <c r="E38" t="s">
        <v>44</v>
      </c>
      <c r="H38" t="s">
        <v>45</v>
      </c>
      <c r="I38" t="s">
        <v>45</v>
      </c>
      <c r="J38" t="s">
        <v>45</v>
      </c>
      <c r="K38" t="s">
        <v>45</v>
      </c>
      <c r="L38" t="s">
        <v>45</v>
      </c>
      <c r="S38">
        <v>11</v>
      </c>
      <c r="W38">
        <v>5</v>
      </c>
      <c r="X38" t="s">
        <v>57</v>
      </c>
      <c r="Y38" t="s">
        <v>116</v>
      </c>
      <c r="AB38">
        <f t="shared" si="3"/>
        <v>90</v>
      </c>
      <c r="AD38">
        <f t="shared" si="4"/>
        <v>8</v>
      </c>
      <c r="AE38" t="str">
        <f t="shared" si="5"/>
        <v/>
      </c>
    </row>
    <row r="39" spans="1:31" x14ac:dyDescent="0.3">
      <c r="A39" t="s">
        <v>40</v>
      </c>
      <c r="B39" t="s">
        <v>215</v>
      </c>
      <c r="C39" t="s">
        <v>70</v>
      </c>
      <c r="D39" t="s">
        <v>43</v>
      </c>
      <c r="E39" t="s">
        <v>44</v>
      </c>
      <c r="G39" t="s">
        <v>45</v>
      </c>
      <c r="H39" t="s">
        <v>45</v>
      </c>
      <c r="I39" t="s">
        <v>45</v>
      </c>
      <c r="J39" t="s">
        <v>45</v>
      </c>
      <c r="R39" t="s">
        <v>45</v>
      </c>
      <c r="Y39" t="s">
        <v>70</v>
      </c>
      <c r="AB39">
        <f t="shared" si="3"/>
        <v>20</v>
      </c>
      <c r="AD39">
        <f t="shared" si="4"/>
        <v>7</v>
      </c>
      <c r="AE39" t="str">
        <f t="shared" si="5"/>
        <v>⭐ PICK</v>
      </c>
    </row>
    <row r="40" spans="1:31" x14ac:dyDescent="0.3">
      <c r="A40" t="s">
        <v>40</v>
      </c>
      <c r="B40" t="s">
        <v>220</v>
      </c>
      <c r="C40" t="s">
        <v>221</v>
      </c>
      <c r="D40" t="s">
        <v>202</v>
      </c>
      <c r="E40" t="s">
        <v>44</v>
      </c>
      <c r="H40" t="s">
        <v>45</v>
      </c>
      <c r="I40" t="s">
        <v>45</v>
      </c>
      <c r="J40" t="s">
        <v>45</v>
      </c>
      <c r="K40" t="s">
        <v>45</v>
      </c>
      <c r="L40" t="s">
        <v>45</v>
      </c>
      <c r="Y40" t="s">
        <v>46</v>
      </c>
      <c r="AB40">
        <f t="shared" si="3"/>
        <v>90</v>
      </c>
      <c r="AD40">
        <f t="shared" si="4"/>
        <v>7</v>
      </c>
      <c r="AE40" t="str">
        <f t="shared" si="5"/>
        <v/>
      </c>
    </row>
    <row r="41" spans="1:31" x14ac:dyDescent="0.3">
      <c r="A41" t="s">
        <v>40</v>
      </c>
      <c r="B41" t="s">
        <v>225</v>
      </c>
      <c r="C41" t="s">
        <v>190</v>
      </c>
      <c r="D41" t="s">
        <v>158</v>
      </c>
      <c r="E41" t="s">
        <v>44</v>
      </c>
      <c r="I41" t="s">
        <v>45</v>
      </c>
      <c r="J41" t="s">
        <v>45</v>
      </c>
      <c r="K41" t="s">
        <v>45</v>
      </c>
      <c r="L41" t="s">
        <v>45</v>
      </c>
      <c r="M41" t="s">
        <v>45</v>
      </c>
      <c r="Y41" t="s">
        <v>116</v>
      </c>
      <c r="AB41">
        <f t="shared" si="3"/>
        <v>90</v>
      </c>
      <c r="AD41">
        <f t="shared" si="4"/>
        <v>5</v>
      </c>
      <c r="AE41" t="str">
        <f t="shared" si="5"/>
        <v/>
      </c>
    </row>
    <row r="42" spans="1:31" x14ac:dyDescent="0.3">
      <c r="A42" t="s">
        <v>40</v>
      </c>
      <c r="B42" t="s">
        <v>226</v>
      </c>
      <c r="C42" t="s">
        <v>227</v>
      </c>
      <c r="D42" t="s">
        <v>158</v>
      </c>
      <c r="E42" t="s">
        <v>44</v>
      </c>
      <c r="I42" t="s">
        <v>45</v>
      </c>
      <c r="J42" t="s">
        <v>45</v>
      </c>
      <c r="K42" t="s">
        <v>45</v>
      </c>
      <c r="L42" t="s">
        <v>45</v>
      </c>
      <c r="M42" t="s">
        <v>45</v>
      </c>
      <c r="Y42" t="s">
        <v>116</v>
      </c>
      <c r="AB42">
        <f t="shared" si="3"/>
        <v>90</v>
      </c>
      <c r="AD42">
        <f t="shared" si="4"/>
        <v>5</v>
      </c>
      <c r="AE42" t="str">
        <f t="shared" si="5"/>
        <v/>
      </c>
    </row>
    <row r="43" spans="1:31" x14ac:dyDescent="0.3">
      <c r="A43" t="s">
        <v>40</v>
      </c>
      <c r="B43" t="s">
        <v>228</v>
      </c>
      <c r="C43" t="s">
        <v>229</v>
      </c>
      <c r="D43" t="s">
        <v>158</v>
      </c>
      <c r="E43" t="s">
        <v>44</v>
      </c>
      <c r="I43" t="s">
        <v>45</v>
      </c>
      <c r="J43" t="s">
        <v>45</v>
      </c>
      <c r="K43" t="s">
        <v>45</v>
      </c>
      <c r="L43" t="s">
        <v>45</v>
      </c>
      <c r="M43" t="s">
        <v>45</v>
      </c>
      <c r="Y43" t="s">
        <v>116</v>
      </c>
      <c r="AB43">
        <f t="shared" si="3"/>
        <v>90</v>
      </c>
      <c r="AD43">
        <f t="shared" si="4"/>
        <v>5</v>
      </c>
      <c r="AE43" t="str">
        <f t="shared" si="5"/>
        <v/>
      </c>
    </row>
    <row r="44" spans="1:31" x14ac:dyDescent="0.3">
      <c r="A44" t="s">
        <v>40</v>
      </c>
      <c r="B44" t="s">
        <v>233</v>
      </c>
      <c r="C44" t="s">
        <v>234</v>
      </c>
      <c r="D44" t="s">
        <v>202</v>
      </c>
      <c r="E44" t="s">
        <v>44</v>
      </c>
      <c r="H44" t="s">
        <v>45</v>
      </c>
      <c r="I44" t="s">
        <v>45</v>
      </c>
      <c r="J44" t="s">
        <v>45</v>
      </c>
      <c r="K44" t="s">
        <v>45</v>
      </c>
      <c r="L44" t="s">
        <v>45</v>
      </c>
      <c r="Y44" t="s">
        <v>116</v>
      </c>
      <c r="AB44">
        <f t="shared" si="3"/>
        <v>90</v>
      </c>
      <c r="AD44">
        <f t="shared" si="4"/>
        <v>5</v>
      </c>
      <c r="AE44" t="str">
        <f t="shared" si="5"/>
        <v/>
      </c>
    </row>
    <row r="45" spans="1:31" x14ac:dyDescent="0.3">
      <c r="A45" t="s">
        <v>40</v>
      </c>
      <c r="B45" t="s">
        <v>235</v>
      </c>
      <c r="C45" t="s">
        <v>190</v>
      </c>
      <c r="D45" t="s">
        <v>202</v>
      </c>
      <c r="E45" t="s">
        <v>44</v>
      </c>
      <c r="H45" t="s">
        <v>45</v>
      </c>
      <c r="I45" t="s">
        <v>45</v>
      </c>
      <c r="J45" t="s">
        <v>45</v>
      </c>
      <c r="K45" t="s">
        <v>45</v>
      </c>
      <c r="L45" t="s">
        <v>45</v>
      </c>
      <c r="Y45" t="s">
        <v>116</v>
      </c>
      <c r="AB45">
        <f t="shared" si="3"/>
        <v>90</v>
      </c>
      <c r="AD45">
        <f t="shared" si="4"/>
        <v>5</v>
      </c>
      <c r="AE45" t="str">
        <f t="shared" si="5"/>
        <v/>
      </c>
    </row>
    <row r="46" spans="1:31" x14ac:dyDescent="0.3">
      <c r="A46" t="s">
        <v>40</v>
      </c>
      <c r="B46" t="s">
        <v>237</v>
      </c>
      <c r="C46" t="s">
        <v>190</v>
      </c>
      <c r="D46" t="s">
        <v>202</v>
      </c>
      <c r="E46" t="s">
        <v>44</v>
      </c>
      <c r="H46" t="s">
        <v>45</v>
      </c>
      <c r="I46" t="s">
        <v>45</v>
      </c>
      <c r="J46" t="s">
        <v>45</v>
      </c>
      <c r="K46" t="s">
        <v>45</v>
      </c>
      <c r="L46" t="s">
        <v>45</v>
      </c>
      <c r="Y46" t="s">
        <v>116</v>
      </c>
      <c r="AB46">
        <f t="shared" si="3"/>
        <v>90</v>
      </c>
      <c r="AD46">
        <f t="shared" si="4"/>
        <v>5</v>
      </c>
      <c r="AE46" t="str">
        <f t="shared" si="5"/>
        <v/>
      </c>
    </row>
    <row r="47" spans="1:31" x14ac:dyDescent="0.3">
      <c r="A47" t="s">
        <v>40</v>
      </c>
      <c r="B47" t="s">
        <v>238</v>
      </c>
      <c r="C47" t="s">
        <v>190</v>
      </c>
      <c r="D47" t="s">
        <v>202</v>
      </c>
      <c r="E47" t="s">
        <v>44</v>
      </c>
      <c r="H47" t="s">
        <v>45</v>
      </c>
      <c r="I47" t="s">
        <v>45</v>
      </c>
      <c r="J47" t="s">
        <v>45</v>
      </c>
      <c r="K47" t="s">
        <v>45</v>
      </c>
      <c r="L47" t="s">
        <v>45</v>
      </c>
      <c r="Y47" t="s">
        <v>116</v>
      </c>
      <c r="AB47">
        <f t="shared" si="3"/>
        <v>90</v>
      </c>
      <c r="AD47">
        <f t="shared" si="4"/>
        <v>5</v>
      </c>
      <c r="AE47" t="str">
        <f t="shared" si="5"/>
        <v/>
      </c>
    </row>
    <row r="48" spans="1:31" x14ac:dyDescent="0.3">
      <c r="A48" t="s">
        <v>40</v>
      </c>
      <c r="B48" t="s">
        <v>239</v>
      </c>
      <c r="C48" t="s">
        <v>119</v>
      </c>
      <c r="D48" t="s">
        <v>115</v>
      </c>
      <c r="E48" t="s">
        <v>44</v>
      </c>
      <c r="M48" t="s">
        <v>45</v>
      </c>
      <c r="N48" t="s">
        <v>45</v>
      </c>
      <c r="O48" t="s">
        <v>45</v>
      </c>
      <c r="P48" t="s">
        <v>45</v>
      </c>
      <c r="Q48" t="s">
        <v>45</v>
      </c>
      <c r="R48" t="s">
        <v>45</v>
      </c>
      <c r="AB48">
        <f t="shared" si="3"/>
        <v>45</v>
      </c>
      <c r="AD48">
        <f t="shared" si="4"/>
        <v>5</v>
      </c>
      <c r="AE48" t="str">
        <f t="shared" si="5"/>
        <v/>
      </c>
    </row>
    <row r="49" spans="1:31" x14ac:dyDescent="0.3">
      <c r="A49" t="s">
        <v>240</v>
      </c>
      <c r="B49" t="s">
        <v>320</v>
      </c>
      <c r="C49" t="s">
        <v>321</v>
      </c>
      <c r="D49" t="s">
        <v>115</v>
      </c>
      <c r="E49" t="s">
        <v>44</v>
      </c>
      <c r="M49" t="s">
        <v>45</v>
      </c>
      <c r="N49" t="s">
        <v>45</v>
      </c>
      <c r="O49" t="s">
        <v>45</v>
      </c>
      <c r="P49" t="s">
        <v>45</v>
      </c>
      <c r="Q49" t="s">
        <v>45</v>
      </c>
      <c r="R49" t="s">
        <v>45</v>
      </c>
      <c r="Y49" t="s">
        <v>116</v>
      </c>
      <c r="AB49">
        <f t="shared" si="3"/>
        <v>90</v>
      </c>
      <c r="AD49">
        <f t="shared" si="4"/>
        <v>5</v>
      </c>
      <c r="AE49" t="str">
        <f t="shared" si="5"/>
        <v/>
      </c>
    </row>
    <row r="50" spans="1:31" x14ac:dyDescent="0.3">
      <c r="A50" t="s">
        <v>240</v>
      </c>
      <c r="B50" t="s">
        <v>322</v>
      </c>
      <c r="C50" t="s">
        <v>323</v>
      </c>
      <c r="D50" t="s">
        <v>243</v>
      </c>
      <c r="E50" t="s">
        <v>44</v>
      </c>
      <c r="G50" t="s">
        <v>45</v>
      </c>
      <c r="H50" t="s">
        <v>45</v>
      </c>
      <c r="I50" t="s">
        <v>45</v>
      </c>
      <c r="O50" t="s">
        <v>45</v>
      </c>
      <c r="P50" t="s">
        <v>45</v>
      </c>
      <c r="Q50" t="s">
        <v>45</v>
      </c>
      <c r="R50" t="s">
        <v>45</v>
      </c>
      <c r="Y50" t="s">
        <v>46</v>
      </c>
      <c r="AB50">
        <f t="shared" si="3"/>
        <v>90</v>
      </c>
      <c r="AD50">
        <f t="shared" si="4"/>
        <v>7</v>
      </c>
      <c r="AE50" t="str">
        <f t="shared" si="5"/>
        <v>⭐ PICK</v>
      </c>
    </row>
    <row r="51" spans="1:31" x14ac:dyDescent="0.3">
      <c r="A51" t="s">
        <v>240</v>
      </c>
      <c r="B51" t="s">
        <v>324</v>
      </c>
      <c r="C51" t="s">
        <v>325</v>
      </c>
      <c r="D51" t="s">
        <v>286</v>
      </c>
      <c r="E51" t="s">
        <v>44</v>
      </c>
      <c r="N51" t="s">
        <v>45</v>
      </c>
      <c r="O51" t="s">
        <v>45</v>
      </c>
      <c r="P51" t="s">
        <v>45</v>
      </c>
      <c r="Q51" t="s">
        <v>45</v>
      </c>
      <c r="R51" t="s">
        <v>45</v>
      </c>
      <c r="Y51" t="s">
        <v>116</v>
      </c>
      <c r="AB51">
        <f t="shared" si="3"/>
        <v>90</v>
      </c>
      <c r="AD51">
        <f t="shared" si="4"/>
        <v>5</v>
      </c>
      <c r="AE51" t="str">
        <f t="shared" si="5"/>
        <v/>
      </c>
    </row>
    <row r="52" spans="1:31" x14ac:dyDescent="0.3">
      <c r="A52" t="s">
        <v>240</v>
      </c>
      <c r="B52" t="s">
        <v>326</v>
      </c>
      <c r="C52" t="s">
        <v>327</v>
      </c>
      <c r="D52" t="s">
        <v>125</v>
      </c>
      <c r="E52" t="s">
        <v>44</v>
      </c>
      <c r="G52" t="s">
        <v>45</v>
      </c>
      <c r="H52" t="s">
        <v>45</v>
      </c>
      <c r="I52" t="s">
        <v>45</v>
      </c>
      <c r="Q52" t="s">
        <v>45</v>
      </c>
      <c r="R52" t="s">
        <v>45</v>
      </c>
      <c r="Y52" t="s">
        <v>46</v>
      </c>
      <c r="AB52">
        <f t="shared" si="3"/>
        <v>90</v>
      </c>
      <c r="AD52">
        <f t="shared" si="4"/>
        <v>7</v>
      </c>
      <c r="AE52" t="str">
        <f t="shared" si="5"/>
        <v>⭐ PICK</v>
      </c>
    </row>
    <row r="53" spans="1:31" x14ac:dyDescent="0.3">
      <c r="A53" t="s">
        <v>240</v>
      </c>
      <c r="B53" t="s">
        <v>328</v>
      </c>
      <c r="C53" t="s">
        <v>70</v>
      </c>
      <c r="D53" t="s">
        <v>125</v>
      </c>
      <c r="E53" t="s">
        <v>44</v>
      </c>
      <c r="G53" t="s">
        <v>45</v>
      </c>
      <c r="H53" t="s">
        <v>45</v>
      </c>
      <c r="I53" t="s">
        <v>45</v>
      </c>
      <c r="Q53" t="s">
        <v>45</v>
      </c>
      <c r="R53" t="s">
        <v>45</v>
      </c>
      <c r="Y53" t="s">
        <v>70</v>
      </c>
      <c r="AB53">
        <f t="shared" si="3"/>
        <v>20</v>
      </c>
      <c r="AD53">
        <f t="shared" si="4"/>
        <v>7</v>
      </c>
      <c r="AE53" t="str">
        <f t="shared" si="5"/>
        <v>⭐ PICK</v>
      </c>
    </row>
    <row r="54" spans="1:31" x14ac:dyDescent="0.3">
      <c r="A54" t="s">
        <v>240</v>
      </c>
      <c r="B54" t="s">
        <v>313</v>
      </c>
      <c r="C54" t="s">
        <v>314</v>
      </c>
      <c r="D54" t="s">
        <v>125</v>
      </c>
      <c r="E54" t="s">
        <v>44</v>
      </c>
      <c r="G54" t="s">
        <v>45</v>
      </c>
      <c r="H54" t="s">
        <v>45</v>
      </c>
      <c r="I54" t="s">
        <v>45</v>
      </c>
      <c r="Q54" t="s">
        <v>45</v>
      </c>
      <c r="R54" t="s">
        <v>45</v>
      </c>
      <c r="AB54">
        <f t="shared" si="3"/>
        <v>45</v>
      </c>
      <c r="AD54">
        <f t="shared" si="4"/>
        <v>5</v>
      </c>
      <c r="AE54" t="str">
        <f t="shared" si="5"/>
        <v/>
      </c>
    </row>
    <row r="55" spans="1:31" x14ac:dyDescent="0.3">
      <c r="A55" t="s">
        <v>240</v>
      </c>
      <c r="B55" t="s">
        <v>329</v>
      </c>
      <c r="C55" t="s">
        <v>330</v>
      </c>
      <c r="D55" t="s">
        <v>280</v>
      </c>
      <c r="E55" t="s">
        <v>44</v>
      </c>
      <c r="K55" t="s">
        <v>45</v>
      </c>
      <c r="L55" t="s">
        <v>45</v>
      </c>
      <c r="M55" t="s">
        <v>45</v>
      </c>
      <c r="N55" t="s">
        <v>45</v>
      </c>
      <c r="O55" t="s">
        <v>45</v>
      </c>
      <c r="P55" t="s">
        <v>45</v>
      </c>
      <c r="S55">
        <v>25</v>
      </c>
      <c r="W55">
        <v>5</v>
      </c>
      <c r="X55" t="s">
        <v>57</v>
      </c>
      <c r="Y55" t="s">
        <v>46</v>
      </c>
      <c r="AB55">
        <f t="shared" si="3"/>
        <v>90</v>
      </c>
      <c r="AD55">
        <f t="shared" si="4"/>
        <v>10</v>
      </c>
      <c r="AE55" t="str">
        <f t="shared" si="5"/>
        <v/>
      </c>
    </row>
    <row r="56" spans="1:31" x14ac:dyDescent="0.3">
      <c r="A56" t="s">
        <v>240</v>
      </c>
      <c r="B56" t="s">
        <v>331</v>
      </c>
      <c r="C56" t="s">
        <v>332</v>
      </c>
      <c r="D56" t="s">
        <v>280</v>
      </c>
      <c r="E56" t="s">
        <v>44</v>
      </c>
      <c r="K56" t="s">
        <v>45</v>
      </c>
      <c r="L56" t="s">
        <v>45</v>
      </c>
      <c r="M56" t="s">
        <v>45</v>
      </c>
      <c r="N56" t="s">
        <v>45</v>
      </c>
      <c r="O56" t="s">
        <v>45</v>
      </c>
      <c r="P56" t="s">
        <v>45</v>
      </c>
      <c r="Y56" t="s">
        <v>116</v>
      </c>
      <c r="AB56">
        <f t="shared" si="3"/>
        <v>90</v>
      </c>
      <c r="AD56">
        <f t="shared" si="4"/>
        <v>5</v>
      </c>
      <c r="AE56" t="str">
        <f t="shared" si="5"/>
        <v/>
      </c>
    </row>
    <row r="57" spans="1:31" x14ac:dyDescent="0.3">
      <c r="A57" t="s">
        <v>240</v>
      </c>
      <c r="B57" t="s">
        <v>333</v>
      </c>
      <c r="C57" t="s">
        <v>334</v>
      </c>
      <c r="D57" t="s">
        <v>109</v>
      </c>
      <c r="E57" t="s">
        <v>44</v>
      </c>
      <c r="L57" t="s">
        <v>45</v>
      </c>
      <c r="M57" t="s">
        <v>45</v>
      </c>
      <c r="N57" t="s">
        <v>45</v>
      </c>
      <c r="O57" t="s">
        <v>45</v>
      </c>
      <c r="P57" t="s">
        <v>45</v>
      </c>
      <c r="S57">
        <v>70</v>
      </c>
      <c r="W57">
        <v>5</v>
      </c>
      <c r="X57" t="s">
        <v>57</v>
      </c>
      <c r="Y57" t="s">
        <v>46</v>
      </c>
      <c r="AB57">
        <f t="shared" si="3"/>
        <v>90</v>
      </c>
      <c r="AD57">
        <f t="shared" si="4"/>
        <v>10</v>
      </c>
      <c r="AE57" t="str">
        <f t="shared" si="5"/>
        <v/>
      </c>
    </row>
    <row r="58" spans="1:31" x14ac:dyDescent="0.3">
      <c r="A58" t="s">
        <v>240</v>
      </c>
      <c r="B58" t="s">
        <v>335</v>
      </c>
      <c r="C58" t="s">
        <v>336</v>
      </c>
      <c r="D58" t="s">
        <v>109</v>
      </c>
      <c r="E58" t="s">
        <v>44</v>
      </c>
      <c r="L58" t="s">
        <v>45</v>
      </c>
      <c r="M58" t="s">
        <v>45</v>
      </c>
      <c r="N58" t="s">
        <v>45</v>
      </c>
      <c r="O58" t="s">
        <v>45</v>
      </c>
      <c r="P58" t="s">
        <v>45</v>
      </c>
      <c r="S58">
        <v>120</v>
      </c>
      <c r="W58">
        <v>3</v>
      </c>
      <c r="X58" t="s">
        <v>44</v>
      </c>
      <c r="Y58" t="s">
        <v>46</v>
      </c>
      <c r="AB58">
        <f t="shared" si="3"/>
        <v>90</v>
      </c>
      <c r="AD58">
        <f t="shared" si="4"/>
        <v>6</v>
      </c>
      <c r="AE58" t="str">
        <f t="shared" si="5"/>
        <v/>
      </c>
    </row>
    <row r="59" spans="1:31" x14ac:dyDescent="0.3">
      <c r="A59" t="s">
        <v>240</v>
      </c>
      <c r="B59" t="s">
        <v>337</v>
      </c>
      <c r="C59" t="s">
        <v>338</v>
      </c>
      <c r="D59" t="s">
        <v>115</v>
      </c>
      <c r="E59" t="s">
        <v>44</v>
      </c>
      <c r="M59" t="s">
        <v>45</v>
      </c>
      <c r="N59" t="s">
        <v>45</v>
      </c>
      <c r="O59" t="s">
        <v>45</v>
      </c>
      <c r="P59" t="s">
        <v>45</v>
      </c>
      <c r="Q59" t="s">
        <v>45</v>
      </c>
      <c r="R59" t="s">
        <v>45</v>
      </c>
      <c r="Y59" t="s">
        <v>197</v>
      </c>
      <c r="AB59">
        <f t="shared" si="3"/>
        <v>75</v>
      </c>
      <c r="AD59">
        <f t="shared" si="4"/>
        <v>6</v>
      </c>
      <c r="AE59" t="str">
        <f t="shared" si="5"/>
        <v/>
      </c>
    </row>
    <row r="60" spans="1:31" x14ac:dyDescent="0.3">
      <c r="A60" t="s">
        <v>240</v>
      </c>
      <c r="B60" t="s">
        <v>339</v>
      </c>
      <c r="C60" t="s">
        <v>340</v>
      </c>
      <c r="D60" t="s">
        <v>115</v>
      </c>
      <c r="E60" t="s">
        <v>44</v>
      </c>
      <c r="M60" t="s">
        <v>45</v>
      </c>
      <c r="N60" t="s">
        <v>45</v>
      </c>
      <c r="O60" t="s">
        <v>45</v>
      </c>
      <c r="P60" t="s">
        <v>45</v>
      </c>
      <c r="Q60" t="s">
        <v>45</v>
      </c>
      <c r="R60" t="s">
        <v>45</v>
      </c>
      <c r="S60">
        <v>28</v>
      </c>
      <c r="W60">
        <v>5</v>
      </c>
      <c r="X60" t="s">
        <v>57</v>
      </c>
      <c r="Y60" t="s">
        <v>46</v>
      </c>
      <c r="AB60">
        <f t="shared" si="3"/>
        <v>90</v>
      </c>
      <c r="AD60">
        <f t="shared" si="4"/>
        <v>10</v>
      </c>
      <c r="AE60" t="str">
        <f t="shared" si="5"/>
        <v/>
      </c>
    </row>
    <row r="61" spans="1:31" x14ac:dyDescent="0.3">
      <c r="A61" t="s">
        <v>240</v>
      </c>
      <c r="B61" t="s">
        <v>341</v>
      </c>
      <c r="C61" t="s">
        <v>190</v>
      </c>
      <c r="D61" t="s">
        <v>115</v>
      </c>
      <c r="E61" t="s">
        <v>44</v>
      </c>
      <c r="M61" t="s">
        <v>45</v>
      </c>
      <c r="N61" t="s">
        <v>45</v>
      </c>
      <c r="O61" t="s">
        <v>45</v>
      </c>
      <c r="P61" t="s">
        <v>45</v>
      </c>
      <c r="Q61" t="s">
        <v>45</v>
      </c>
      <c r="R61" t="s">
        <v>45</v>
      </c>
      <c r="Y61" t="s">
        <v>116</v>
      </c>
      <c r="AB61">
        <f t="shared" si="3"/>
        <v>90</v>
      </c>
      <c r="AD61">
        <f t="shared" si="4"/>
        <v>5</v>
      </c>
      <c r="AE61" t="str">
        <f t="shared" si="5"/>
        <v/>
      </c>
    </row>
    <row r="62" spans="1:31" x14ac:dyDescent="0.3">
      <c r="A62" t="s">
        <v>240</v>
      </c>
      <c r="B62" t="s">
        <v>342</v>
      </c>
      <c r="C62" t="s">
        <v>343</v>
      </c>
      <c r="D62" t="s">
        <v>243</v>
      </c>
      <c r="E62" t="s">
        <v>44</v>
      </c>
      <c r="G62" t="s">
        <v>45</v>
      </c>
      <c r="H62" t="s">
        <v>45</v>
      </c>
      <c r="I62" t="s">
        <v>45</v>
      </c>
      <c r="O62" t="s">
        <v>45</v>
      </c>
      <c r="P62" t="s">
        <v>45</v>
      </c>
      <c r="Q62" t="s">
        <v>45</v>
      </c>
      <c r="R62" t="s">
        <v>45</v>
      </c>
      <c r="Y62" t="s">
        <v>46</v>
      </c>
      <c r="AB62">
        <f t="shared" si="3"/>
        <v>90</v>
      </c>
      <c r="AD62">
        <f t="shared" si="4"/>
        <v>7</v>
      </c>
      <c r="AE62" t="str">
        <f t="shared" si="5"/>
        <v>⭐ PICK</v>
      </c>
    </row>
    <row r="63" spans="1:31" x14ac:dyDescent="0.3">
      <c r="A63" t="s">
        <v>287</v>
      </c>
      <c r="B63" t="s">
        <v>344</v>
      </c>
      <c r="C63" t="s">
        <v>345</v>
      </c>
      <c r="D63" t="s">
        <v>243</v>
      </c>
      <c r="E63" t="s">
        <v>44</v>
      </c>
      <c r="G63" t="s">
        <v>45</v>
      </c>
      <c r="H63" t="s">
        <v>45</v>
      </c>
      <c r="I63" t="s">
        <v>45</v>
      </c>
      <c r="O63" t="s">
        <v>45</v>
      </c>
      <c r="P63" t="s">
        <v>45</v>
      </c>
      <c r="Q63" t="s">
        <v>45</v>
      </c>
      <c r="R63" t="s">
        <v>45</v>
      </c>
      <c r="AB63">
        <f t="shared" si="3"/>
        <v>45</v>
      </c>
      <c r="AD63">
        <f t="shared" si="4"/>
        <v>5</v>
      </c>
      <c r="AE63" t="str">
        <f t="shared" si="5"/>
        <v/>
      </c>
    </row>
    <row r="64" spans="1:31" x14ac:dyDescent="0.3">
      <c r="A64" t="s">
        <v>287</v>
      </c>
      <c r="B64" t="s">
        <v>346</v>
      </c>
      <c r="C64" t="s">
        <v>347</v>
      </c>
      <c r="D64" t="s">
        <v>348</v>
      </c>
      <c r="E64" t="s">
        <v>44</v>
      </c>
      <c r="G64" t="s">
        <v>45</v>
      </c>
      <c r="H64" t="s">
        <v>45</v>
      </c>
      <c r="I64" t="s">
        <v>45</v>
      </c>
      <c r="O64" t="s">
        <v>45</v>
      </c>
      <c r="P64" t="s">
        <v>45</v>
      </c>
      <c r="Q64" t="s">
        <v>45</v>
      </c>
      <c r="S64">
        <v>60</v>
      </c>
      <c r="W64">
        <v>5</v>
      </c>
      <c r="X64" t="s">
        <v>57</v>
      </c>
      <c r="Y64" t="s">
        <v>46</v>
      </c>
      <c r="AB64">
        <f t="shared" si="3"/>
        <v>90</v>
      </c>
      <c r="AD64">
        <f t="shared" si="4"/>
        <v>10</v>
      </c>
      <c r="AE64" t="str">
        <f t="shared" si="5"/>
        <v>⭐ PICK</v>
      </c>
    </row>
    <row r="65" spans="1:31" x14ac:dyDescent="0.3">
      <c r="A65" t="s">
        <v>287</v>
      </c>
      <c r="B65" t="s">
        <v>349</v>
      </c>
      <c r="C65" t="s">
        <v>350</v>
      </c>
      <c r="D65" t="s">
        <v>348</v>
      </c>
      <c r="E65" t="s">
        <v>44</v>
      </c>
      <c r="G65" t="s">
        <v>45</v>
      </c>
      <c r="H65" t="s">
        <v>45</v>
      </c>
      <c r="I65" t="s">
        <v>45</v>
      </c>
      <c r="O65" t="s">
        <v>45</v>
      </c>
      <c r="P65" t="s">
        <v>45</v>
      </c>
      <c r="Q65" t="s">
        <v>45</v>
      </c>
      <c r="S65">
        <v>60</v>
      </c>
      <c r="W65">
        <v>5</v>
      </c>
      <c r="X65" t="s">
        <v>57</v>
      </c>
      <c r="Y65" t="s">
        <v>46</v>
      </c>
      <c r="AB65">
        <f t="shared" si="3"/>
        <v>90</v>
      </c>
      <c r="AD65">
        <f t="shared" si="4"/>
        <v>10</v>
      </c>
      <c r="AE65" t="str">
        <f t="shared" si="5"/>
        <v>⭐ PICK</v>
      </c>
    </row>
    <row r="66" spans="1:31" x14ac:dyDescent="0.3">
      <c r="A66" t="s">
        <v>287</v>
      </c>
      <c r="B66" t="s">
        <v>316</v>
      </c>
      <c r="C66" t="s">
        <v>351</v>
      </c>
      <c r="D66" t="s">
        <v>125</v>
      </c>
      <c r="E66" t="s">
        <v>44</v>
      </c>
      <c r="G66" t="s">
        <v>45</v>
      </c>
      <c r="H66" t="s">
        <v>45</v>
      </c>
      <c r="I66" t="s">
        <v>45</v>
      </c>
      <c r="Q66" t="s">
        <v>45</v>
      </c>
      <c r="R66" t="s">
        <v>45</v>
      </c>
      <c r="AB66">
        <f t="shared" ref="AB66:AB83" si="6">IF(Y66="Emission Nebula",90,IF(Y66="Reflection Nebula",75,IF(Y66="Planetary Nebula",60,IF(Y66="Galaxy",90,IF(Y66="Globular Cluster",30,IF(Y66="Open Cluster",20,IF(Y66="Comet",20,IF(Y66="Planet",10,IF(Y66="Star",5,45)))))))))</f>
        <v>45</v>
      </c>
      <c r="AD66">
        <f t="shared" ref="AD66:AD83" si="7">MAX(1,MIN(10,ROUND((IF(S66="",5,IF(S66&lt;3,2,IF(S66&lt;10,4,IF(S66&lt;=70,8,IF(S66&lt;=100,6,4))))))+IF(Y66="Emission Nebula",2,IF(Y66="Open Cluster",2,IF(Y66="Globular Cluster",2,IF(Y66="Reflection Nebula",1,IF(Y66="Planetary Nebula",1,IF(Y66="Comet",1,0))))))+IF(Z66="High (easy)",2,IF(Z66="Medium",1,IF(Z66="Low (hard)",-1,0)))+IF(AA66="High (OK with Moon)",2,IF(AA66="Medium",0,IF(AA66="Low (needs dark)",-2,0)))+IF(AC66="High (best &gt;50°)",1,IF(AC66="Medium",0,IF(AC66="Low (OK)",-1,0))),0)))</f>
        <v>5</v>
      </c>
      <c r="AE66" t="str">
        <f t="shared" ref="AE66:AE83" si="8">IF(AND(G66="✔",AD66&gt;=7,OR(V66&lt;&gt;"No",V66=""),OR(X66="No",X66="")),"⭐ PICK","")</f>
        <v/>
      </c>
    </row>
    <row r="67" spans="1:31" x14ac:dyDescent="0.3">
      <c r="A67" t="s">
        <v>287</v>
      </c>
      <c r="B67" t="s">
        <v>318</v>
      </c>
      <c r="C67" t="s">
        <v>319</v>
      </c>
      <c r="D67" t="s">
        <v>125</v>
      </c>
      <c r="E67" t="s">
        <v>44</v>
      </c>
      <c r="G67" t="s">
        <v>45</v>
      </c>
      <c r="H67" t="s">
        <v>45</v>
      </c>
      <c r="I67" t="s">
        <v>45</v>
      </c>
      <c r="Q67" t="s">
        <v>45</v>
      </c>
      <c r="R67" t="s">
        <v>45</v>
      </c>
      <c r="Y67" t="s">
        <v>46</v>
      </c>
      <c r="AB67">
        <f t="shared" si="6"/>
        <v>90</v>
      </c>
      <c r="AD67">
        <f t="shared" si="7"/>
        <v>7</v>
      </c>
      <c r="AE67" t="str">
        <f t="shared" si="8"/>
        <v>⭐ PICK</v>
      </c>
    </row>
    <row r="68" spans="1:31" x14ac:dyDescent="0.3">
      <c r="A68" t="s">
        <v>287</v>
      </c>
      <c r="B68" t="s">
        <v>300</v>
      </c>
      <c r="C68" t="s">
        <v>352</v>
      </c>
      <c r="D68" t="s">
        <v>125</v>
      </c>
      <c r="E68" t="s">
        <v>44</v>
      </c>
      <c r="G68" t="s">
        <v>45</v>
      </c>
      <c r="H68" t="s">
        <v>45</v>
      </c>
      <c r="I68" t="s">
        <v>45</v>
      </c>
      <c r="Q68" t="s">
        <v>45</v>
      </c>
      <c r="R68" t="s">
        <v>45</v>
      </c>
      <c r="S68">
        <v>60</v>
      </c>
      <c r="W68">
        <v>5</v>
      </c>
      <c r="X68" t="s">
        <v>57</v>
      </c>
      <c r="AB68">
        <f t="shared" si="6"/>
        <v>45</v>
      </c>
      <c r="AD68">
        <f t="shared" si="7"/>
        <v>8</v>
      </c>
      <c r="AE68" t="str">
        <f t="shared" si="8"/>
        <v>⭐ PICK</v>
      </c>
    </row>
    <row r="69" spans="1:31" x14ac:dyDescent="0.3">
      <c r="A69" t="s">
        <v>287</v>
      </c>
      <c r="B69" t="s">
        <v>353</v>
      </c>
      <c r="C69" t="s">
        <v>354</v>
      </c>
      <c r="D69" t="s">
        <v>109</v>
      </c>
      <c r="E69" t="s">
        <v>44</v>
      </c>
      <c r="L69" t="s">
        <v>45</v>
      </c>
      <c r="M69" t="s">
        <v>45</v>
      </c>
      <c r="N69" t="s">
        <v>45</v>
      </c>
      <c r="O69" t="s">
        <v>45</v>
      </c>
      <c r="P69" t="s">
        <v>45</v>
      </c>
      <c r="Y69" t="s">
        <v>46</v>
      </c>
      <c r="AB69">
        <f t="shared" si="6"/>
        <v>90</v>
      </c>
      <c r="AD69">
        <f t="shared" si="7"/>
        <v>7</v>
      </c>
      <c r="AE69" t="str">
        <f t="shared" si="8"/>
        <v/>
      </c>
    </row>
    <row r="70" spans="1:31" x14ac:dyDescent="0.3">
      <c r="A70" t="s">
        <v>355</v>
      </c>
      <c r="B70" t="s">
        <v>356</v>
      </c>
      <c r="C70" t="s">
        <v>357</v>
      </c>
      <c r="D70" t="s">
        <v>358</v>
      </c>
      <c r="E70" t="s">
        <v>44</v>
      </c>
      <c r="L70" t="s">
        <v>45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AB70">
        <f t="shared" si="6"/>
        <v>45</v>
      </c>
      <c r="AD70">
        <f t="shared" si="7"/>
        <v>5</v>
      </c>
      <c r="AE70" t="str">
        <f t="shared" si="8"/>
        <v/>
      </c>
    </row>
    <row r="71" spans="1:31" x14ac:dyDescent="0.3">
      <c r="A71" t="s">
        <v>355</v>
      </c>
      <c r="B71" t="s">
        <v>359</v>
      </c>
      <c r="C71" t="s">
        <v>46</v>
      </c>
      <c r="D71" t="s">
        <v>109</v>
      </c>
      <c r="E71" t="s">
        <v>44</v>
      </c>
      <c r="L71" t="s">
        <v>45</v>
      </c>
      <c r="M71" t="s">
        <v>45</v>
      </c>
      <c r="N71" t="s">
        <v>45</v>
      </c>
      <c r="O71" t="s">
        <v>45</v>
      </c>
      <c r="P71" t="s">
        <v>45</v>
      </c>
      <c r="Y71" t="s">
        <v>46</v>
      </c>
      <c r="AB71">
        <f t="shared" si="6"/>
        <v>90</v>
      </c>
      <c r="AD71">
        <f t="shared" si="7"/>
        <v>7</v>
      </c>
      <c r="AE71" t="str">
        <f t="shared" si="8"/>
        <v/>
      </c>
    </row>
    <row r="72" spans="1:31" x14ac:dyDescent="0.3">
      <c r="A72" t="s">
        <v>355</v>
      </c>
      <c r="B72" t="s">
        <v>360</v>
      </c>
      <c r="C72" t="s">
        <v>361</v>
      </c>
      <c r="D72" t="s">
        <v>144</v>
      </c>
      <c r="E72" t="s">
        <v>44</v>
      </c>
      <c r="G72" t="s">
        <v>45</v>
      </c>
      <c r="H72" t="s">
        <v>45</v>
      </c>
      <c r="I72" t="s">
        <v>45</v>
      </c>
      <c r="P72" t="s">
        <v>45</v>
      </c>
      <c r="Q72" t="s">
        <v>45</v>
      </c>
      <c r="R72" t="s">
        <v>45</v>
      </c>
      <c r="AB72">
        <f t="shared" si="6"/>
        <v>45</v>
      </c>
      <c r="AD72">
        <f t="shared" si="7"/>
        <v>5</v>
      </c>
      <c r="AE72" t="str">
        <f t="shared" si="8"/>
        <v/>
      </c>
    </row>
    <row r="73" spans="1:31" x14ac:dyDescent="0.3">
      <c r="A73" t="s">
        <v>362</v>
      </c>
      <c r="B73" t="s">
        <v>363</v>
      </c>
      <c r="C73" t="s">
        <v>68</v>
      </c>
      <c r="D73" t="s">
        <v>43</v>
      </c>
      <c r="E73" t="s">
        <v>44</v>
      </c>
      <c r="G73" t="s">
        <v>45</v>
      </c>
      <c r="H73" t="s">
        <v>45</v>
      </c>
      <c r="I73" t="s">
        <v>45</v>
      </c>
      <c r="J73" t="s">
        <v>45</v>
      </c>
      <c r="R73" t="s">
        <v>45</v>
      </c>
      <c r="Y73" t="s">
        <v>70</v>
      </c>
      <c r="AB73">
        <f t="shared" si="6"/>
        <v>20</v>
      </c>
      <c r="AD73">
        <f t="shared" si="7"/>
        <v>7</v>
      </c>
      <c r="AE73" t="str">
        <f t="shared" si="8"/>
        <v>⭐ PICK</v>
      </c>
    </row>
    <row r="74" spans="1:31" x14ac:dyDescent="0.3">
      <c r="A74" t="s">
        <v>362</v>
      </c>
      <c r="B74" t="s">
        <v>364</v>
      </c>
      <c r="C74" t="s">
        <v>82</v>
      </c>
      <c r="D74" t="s">
        <v>76</v>
      </c>
      <c r="E74" t="s">
        <v>44</v>
      </c>
      <c r="K74" t="s">
        <v>45</v>
      </c>
      <c r="L74" t="s">
        <v>45</v>
      </c>
      <c r="M74" t="s">
        <v>45</v>
      </c>
      <c r="N74" t="s">
        <v>45</v>
      </c>
      <c r="O74" t="s">
        <v>45</v>
      </c>
      <c r="Y74" t="s">
        <v>70</v>
      </c>
      <c r="AB74">
        <f t="shared" si="6"/>
        <v>20</v>
      </c>
      <c r="AD74">
        <f t="shared" si="7"/>
        <v>7</v>
      </c>
      <c r="AE74" t="str">
        <f t="shared" si="8"/>
        <v/>
      </c>
    </row>
    <row r="75" spans="1:31" x14ac:dyDescent="0.3">
      <c r="A75" t="s">
        <v>362</v>
      </c>
      <c r="B75" t="s">
        <v>365</v>
      </c>
      <c r="C75" t="s">
        <v>366</v>
      </c>
      <c r="D75" t="s">
        <v>141</v>
      </c>
      <c r="E75" t="s">
        <v>44</v>
      </c>
      <c r="G75" t="s">
        <v>45</v>
      </c>
      <c r="H75" t="s">
        <v>45</v>
      </c>
      <c r="I75" t="s">
        <v>45</v>
      </c>
      <c r="J75" t="s">
        <v>45</v>
      </c>
      <c r="K75" t="s">
        <v>45</v>
      </c>
      <c r="AB75">
        <f t="shared" si="6"/>
        <v>45</v>
      </c>
      <c r="AD75">
        <f t="shared" si="7"/>
        <v>5</v>
      </c>
      <c r="AE75" t="str">
        <f t="shared" si="8"/>
        <v/>
      </c>
    </row>
    <row r="76" spans="1:31" x14ac:dyDescent="0.3">
      <c r="A76" t="s">
        <v>362</v>
      </c>
      <c r="B76" t="s">
        <v>367</v>
      </c>
      <c r="C76" t="s">
        <v>368</v>
      </c>
      <c r="D76" t="s">
        <v>202</v>
      </c>
      <c r="E76" t="s">
        <v>44</v>
      </c>
      <c r="H76" t="s">
        <v>45</v>
      </c>
      <c r="I76" t="s">
        <v>45</v>
      </c>
      <c r="J76" t="s">
        <v>45</v>
      </c>
      <c r="K76" t="s">
        <v>45</v>
      </c>
      <c r="L76" t="s">
        <v>45</v>
      </c>
      <c r="AB76">
        <f t="shared" si="6"/>
        <v>45</v>
      </c>
      <c r="AD76">
        <f t="shared" si="7"/>
        <v>5</v>
      </c>
      <c r="AE76" t="str">
        <f t="shared" si="8"/>
        <v/>
      </c>
    </row>
    <row r="77" spans="1:31" x14ac:dyDescent="0.3">
      <c r="A77" t="s">
        <v>362</v>
      </c>
      <c r="B77" t="s">
        <v>369</v>
      </c>
      <c r="C77" t="s">
        <v>70</v>
      </c>
      <c r="D77" t="s">
        <v>76</v>
      </c>
      <c r="E77" t="s">
        <v>44</v>
      </c>
      <c r="K77" t="s">
        <v>45</v>
      </c>
      <c r="L77" t="s">
        <v>45</v>
      </c>
      <c r="M77" t="s">
        <v>45</v>
      </c>
      <c r="N77" t="s">
        <v>45</v>
      </c>
      <c r="O77" t="s">
        <v>45</v>
      </c>
      <c r="Y77" t="s">
        <v>70</v>
      </c>
      <c r="AB77">
        <f t="shared" si="6"/>
        <v>20</v>
      </c>
      <c r="AD77">
        <f t="shared" si="7"/>
        <v>7</v>
      </c>
      <c r="AE77" t="str">
        <f t="shared" si="8"/>
        <v/>
      </c>
    </row>
    <row r="78" spans="1:31" x14ac:dyDescent="0.3">
      <c r="A78" t="s">
        <v>362</v>
      </c>
      <c r="B78" t="s">
        <v>370</v>
      </c>
      <c r="C78" t="s">
        <v>252</v>
      </c>
      <c r="D78" t="s">
        <v>43</v>
      </c>
      <c r="E78" t="s">
        <v>44</v>
      </c>
      <c r="G78" t="s">
        <v>45</v>
      </c>
      <c r="H78" t="s">
        <v>45</v>
      </c>
      <c r="I78" t="s">
        <v>45</v>
      </c>
      <c r="J78" t="s">
        <v>45</v>
      </c>
      <c r="R78" t="s">
        <v>45</v>
      </c>
      <c r="Y78" t="s">
        <v>46</v>
      </c>
      <c r="AB78">
        <f t="shared" si="6"/>
        <v>90</v>
      </c>
      <c r="AD78">
        <f t="shared" si="7"/>
        <v>7</v>
      </c>
      <c r="AE78" t="str">
        <f t="shared" si="8"/>
        <v>⭐ PICK</v>
      </c>
    </row>
    <row r="79" spans="1:31" x14ac:dyDescent="0.3">
      <c r="A79" t="s">
        <v>362</v>
      </c>
      <c r="B79" t="s">
        <v>371</v>
      </c>
      <c r="C79" t="s">
        <v>372</v>
      </c>
      <c r="D79" t="s">
        <v>136</v>
      </c>
      <c r="E79" t="s">
        <v>44</v>
      </c>
      <c r="G79" t="s">
        <v>45</v>
      </c>
      <c r="H79" t="s">
        <v>45</v>
      </c>
      <c r="I79" t="s">
        <v>45</v>
      </c>
      <c r="J79" t="s">
        <v>45</v>
      </c>
      <c r="Q79" t="s">
        <v>45</v>
      </c>
      <c r="R79" t="s">
        <v>45</v>
      </c>
      <c r="Y79" t="s">
        <v>46</v>
      </c>
      <c r="AB79">
        <f t="shared" si="6"/>
        <v>90</v>
      </c>
      <c r="AD79">
        <f t="shared" si="7"/>
        <v>7</v>
      </c>
      <c r="AE79" t="str">
        <f t="shared" si="8"/>
        <v>⭐ PICK</v>
      </c>
    </row>
    <row r="80" spans="1:31" x14ac:dyDescent="0.3">
      <c r="A80" t="s">
        <v>373</v>
      </c>
      <c r="B80" t="s">
        <v>374</v>
      </c>
      <c r="C80" t="s">
        <v>375</v>
      </c>
      <c r="D80" t="s">
        <v>132</v>
      </c>
      <c r="E80" t="s">
        <v>44</v>
      </c>
      <c r="Y80" t="s">
        <v>373</v>
      </c>
      <c r="AB80">
        <f t="shared" si="6"/>
        <v>5</v>
      </c>
      <c r="AD80">
        <f t="shared" si="7"/>
        <v>5</v>
      </c>
      <c r="AE80" t="str">
        <f t="shared" si="8"/>
        <v/>
      </c>
    </row>
    <row r="81" spans="1:31" x14ac:dyDescent="0.3">
      <c r="A81" t="s">
        <v>373</v>
      </c>
      <c r="B81" t="s">
        <v>376</v>
      </c>
      <c r="C81" t="s">
        <v>377</v>
      </c>
      <c r="D81" t="s">
        <v>144</v>
      </c>
      <c r="E81" t="s">
        <v>44</v>
      </c>
      <c r="G81" t="s">
        <v>45</v>
      </c>
      <c r="H81" t="s">
        <v>45</v>
      </c>
      <c r="I81" t="s">
        <v>45</v>
      </c>
      <c r="P81" t="s">
        <v>45</v>
      </c>
      <c r="Q81" t="s">
        <v>45</v>
      </c>
      <c r="R81" t="s">
        <v>45</v>
      </c>
      <c r="Y81" t="s">
        <v>373</v>
      </c>
      <c r="AB81">
        <f t="shared" si="6"/>
        <v>5</v>
      </c>
      <c r="AD81">
        <f t="shared" si="7"/>
        <v>5</v>
      </c>
      <c r="AE81" t="str">
        <f t="shared" si="8"/>
        <v/>
      </c>
    </row>
    <row r="82" spans="1:31" x14ac:dyDescent="0.3">
      <c r="A82" t="s">
        <v>373</v>
      </c>
      <c r="B82" t="s">
        <v>378</v>
      </c>
      <c r="C82" t="s">
        <v>379</v>
      </c>
      <c r="D82" t="s">
        <v>144</v>
      </c>
      <c r="E82" t="s">
        <v>44</v>
      </c>
      <c r="G82" t="s">
        <v>45</v>
      </c>
      <c r="H82" t="s">
        <v>45</v>
      </c>
      <c r="I82" t="s">
        <v>45</v>
      </c>
      <c r="P82" t="s">
        <v>45</v>
      </c>
      <c r="Q82" t="s">
        <v>45</v>
      </c>
      <c r="R82" t="s">
        <v>45</v>
      </c>
      <c r="Y82" t="s">
        <v>373</v>
      </c>
      <c r="AB82">
        <f t="shared" si="6"/>
        <v>5</v>
      </c>
      <c r="AD82">
        <f t="shared" si="7"/>
        <v>5</v>
      </c>
      <c r="AE82" t="str">
        <f t="shared" si="8"/>
        <v/>
      </c>
    </row>
    <row r="83" spans="1:31" x14ac:dyDescent="0.3">
      <c r="A83" t="s">
        <v>380</v>
      </c>
      <c r="B83" t="s">
        <v>381</v>
      </c>
      <c r="C83" t="s">
        <v>380</v>
      </c>
      <c r="D83" t="s">
        <v>115</v>
      </c>
      <c r="E83" t="s">
        <v>44</v>
      </c>
      <c r="M83" t="s">
        <v>45</v>
      </c>
      <c r="N83" t="s">
        <v>45</v>
      </c>
      <c r="O83" t="s">
        <v>45</v>
      </c>
      <c r="P83" t="s">
        <v>45</v>
      </c>
      <c r="Q83" t="s">
        <v>45</v>
      </c>
      <c r="R83" t="s">
        <v>45</v>
      </c>
      <c r="Y83" t="s">
        <v>380</v>
      </c>
      <c r="AB83">
        <f t="shared" si="6"/>
        <v>10</v>
      </c>
      <c r="AD83">
        <f t="shared" si="7"/>
        <v>5</v>
      </c>
      <c r="AE83" t="str">
        <f t="shared" si="8"/>
        <v/>
      </c>
    </row>
  </sheetData>
  <autoFilter ref="A1:AE8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 Planner</vt:lpstr>
      <vt:lpstr>Imaging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Summers</cp:lastModifiedBy>
  <dcterms:created xsi:type="dcterms:W3CDTF">2026-01-01T00:32:02Z</dcterms:created>
  <dcterms:modified xsi:type="dcterms:W3CDTF">2026-03-12T15:07:24Z</dcterms:modified>
</cp:coreProperties>
</file>