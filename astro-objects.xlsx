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SI Sword\.windsurf\worktrees\C00lnerd Tutoring Website\C00lnerd Tutoring Website-98c246c1\"/>
    </mc:Choice>
  </mc:AlternateContent>
  <xr:revisionPtr revIDLastSave="0" documentId="13_ncr:1_{B5E728A5-823E-4A0E-9AD5-1D9EE83B2646}" xr6:coauthVersionLast="47" xr6:coauthVersionMax="47" xr10:uidLastSave="{00000000-0000-0000-0000-000000000000}"/>
  <bookViews>
    <workbookView xWindow="-2868" yWindow="-24240" windowWidth="27528" windowHeight="20460" xr2:uid="{00000000-000D-0000-FFFF-FFFF00000000}"/>
  </bookViews>
  <sheets>
    <sheet name="Target Planner" sheetId="1" r:id="rId1"/>
    <sheet name="Imaging Log" sheetId="2" r:id="rId2"/>
  </sheets>
  <definedNames>
    <definedName name="_xlnm._FilterDatabase" localSheetId="1" hidden="1">'Imaging Log'!$A$1:$AE$83</definedName>
    <definedName name="_xlnm._FilterDatabase" localSheetId="0" hidden="1">'Target Planner'!$A$1:$AE$162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69" i="1" l="1"/>
  <c r="AQ169" i="1" s="1"/>
  <c r="AE168" i="1"/>
  <c r="AQ168" i="1" s="1"/>
  <c r="AE72" i="1"/>
  <c r="AQ72" i="1" s="1"/>
  <c r="AE44" i="1"/>
  <c r="AQ44" i="1" s="1"/>
  <c r="AE131" i="1"/>
  <c r="AQ131" i="1" s="1"/>
  <c r="AE128" i="1"/>
  <c r="AQ128" i="1" s="1"/>
  <c r="AE110" i="1"/>
  <c r="AQ110" i="1" s="1"/>
  <c r="AE109" i="1"/>
  <c r="AQ109" i="1" s="1"/>
  <c r="AE76" i="1"/>
  <c r="AQ76" i="1" s="1"/>
  <c r="AE32" i="1"/>
  <c r="AQ32" i="1" s="1"/>
  <c r="AP178" i="1"/>
  <c r="AP177" i="1"/>
  <c r="AP176" i="1"/>
  <c r="AP175" i="1"/>
  <c r="AP174" i="1"/>
  <c r="AP173" i="1"/>
  <c r="AP172" i="1"/>
  <c r="AP171" i="1"/>
  <c r="AP170" i="1"/>
  <c r="AP169" i="1"/>
  <c r="AP168" i="1"/>
  <c r="AP167" i="1"/>
  <c r="AP166" i="1"/>
  <c r="AP165" i="1"/>
  <c r="AP164" i="1"/>
  <c r="AP163" i="1"/>
  <c r="AP162" i="1"/>
  <c r="AP161" i="1"/>
  <c r="AP160" i="1"/>
  <c r="AP159" i="1"/>
  <c r="AP156" i="1"/>
  <c r="AP154" i="1"/>
  <c r="AP152" i="1"/>
  <c r="AP151" i="1"/>
  <c r="AP150" i="1"/>
  <c r="AP149" i="1"/>
  <c r="AP148" i="1"/>
  <c r="AP147" i="1"/>
  <c r="AP146" i="1"/>
  <c r="AP145" i="1"/>
  <c r="AP144" i="1"/>
  <c r="AP143" i="1"/>
  <c r="AP141" i="1"/>
  <c r="AP121" i="1"/>
  <c r="AP95" i="1"/>
  <c r="AP87" i="1"/>
  <c r="AP84" i="1"/>
  <c r="AP81" i="1"/>
  <c r="AP80" i="1"/>
  <c r="AP78" i="1"/>
  <c r="AP77" i="1"/>
  <c r="AP72" i="1"/>
  <c r="AP44" i="1"/>
  <c r="AP39" i="1"/>
  <c r="AP38" i="1"/>
  <c r="AP35" i="1"/>
  <c r="AP29" i="1"/>
  <c r="AP21" i="1"/>
  <c r="AP140" i="1"/>
  <c r="AP139" i="1"/>
  <c r="AP138" i="1"/>
  <c r="AP137" i="1"/>
  <c r="AP136" i="1"/>
  <c r="AP135" i="1"/>
  <c r="AP134" i="1"/>
  <c r="AP133" i="1"/>
  <c r="AP132" i="1"/>
  <c r="AP131" i="1"/>
  <c r="AP128" i="1"/>
  <c r="AP127" i="1"/>
  <c r="AP126" i="1"/>
  <c r="AP125" i="1"/>
  <c r="AP124" i="1"/>
  <c r="AP123" i="1"/>
  <c r="AP122" i="1"/>
  <c r="AP120" i="1"/>
  <c r="AP118" i="1"/>
  <c r="AP117" i="1"/>
  <c r="AP116" i="1"/>
  <c r="AP114" i="1"/>
  <c r="AP113" i="1"/>
  <c r="AP112" i="1"/>
  <c r="AP111" i="1"/>
  <c r="AP110" i="1"/>
  <c r="AP109" i="1"/>
  <c r="AP108" i="1"/>
  <c r="AP107" i="1"/>
  <c r="AP106" i="1"/>
  <c r="AP105" i="1"/>
  <c r="AP104" i="1"/>
  <c r="AP101" i="1"/>
  <c r="AP99" i="1"/>
  <c r="AP93" i="1"/>
  <c r="AP92" i="1"/>
  <c r="AP91" i="1"/>
  <c r="AP90" i="1"/>
  <c r="AP89" i="1"/>
  <c r="AP88" i="1"/>
  <c r="AP85" i="1"/>
  <c r="AP79" i="1"/>
  <c r="AP76" i="1"/>
  <c r="AP75" i="1"/>
  <c r="AP74" i="1"/>
  <c r="AP73" i="1"/>
  <c r="AP71" i="1"/>
  <c r="AP70" i="1"/>
  <c r="AP66" i="1"/>
  <c r="AP55" i="1"/>
  <c r="AP46" i="1"/>
  <c r="AP45" i="1"/>
  <c r="AP43" i="1"/>
  <c r="AP41" i="1"/>
  <c r="AP40" i="1"/>
  <c r="AP37" i="1"/>
  <c r="AP36" i="1"/>
  <c r="AP33" i="1"/>
  <c r="AP32" i="1"/>
  <c r="AP28" i="1"/>
  <c r="AP26" i="1"/>
  <c r="AP18" i="1"/>
  <c r="AP142" i="1"/>
  <c r="AP17" i="1"/>
  <c r="AP13" i="1"/>
  <c r="AP11" i="1"/>
  <c r="AP10" i="1"/>
  <c r="AP9" i="1"/>
  <c r="AP8" i="1"/>
  <c r="AP7" i="1"/>
  <c r="AP5" i="1"/>
  <c r="AP3" i="1"/>
  <c r="AN161" i="1"/>
  <c r="AN149" i="1"/>
  <c r="AN148" i="1"/>
  <c r="AN146" i="1"/>
  <c r="AN87" i="1"/>
  <c r="AN44" i="1"/>
  <c r="AN39" i="1"/>
  <c r="AN29" i="1"/>
  <c r="AN140" i="1"/>
  <c r="AN137" i="1"/>
  <c r="AN93" i="1"/>
  <c r="AN92" i="1"/>
  <c r="AN90" i="1"/>
  <c r="AN40" i="1"/>
  <c r="AN33" i="1"/>
  <c r="AN9" i="1"/>
  <c r="AN8" i="1"/>
  <c r="AN5" i="1"/>
  <c r="AM178" i="1"/>
  <c r="AM177" i="1"/>
  <c r="AM176" i="1"/>
  <c r="AM175" i="1"/>
  <c r="AE175" i="1" s="1"/>
  <c r="AQ175" i="1" s="1"/>
  <c r="AM174" i="1"/>
  <c r="AM173" i="1"/>
  <c r="AM172" i="1"/>
  <c r="AM171" i="1"/>
  <c r="AM170" i="1"/>
  <c r="AM169" i="1"/>
  <c r="AM168" i="1"/>
  <c r="AM167" i="1"/>
  <c r="AM166" i="1"/>
  <c r="AE166" i="1" s="1"/>
  <c r="AQ166" i="1" s="1"/>
  <c r="AM165" i="1"/>
  <c r="AM164" i="1"/>
  <c r="AM163" i="1"/>
  <c r="AN163" i="1" s="1"/>
  <c r="AM162" i="1"/>
  <c r="AN162" i="1" s="1"/>
  <c r="AM161" i="1"/>
  <c r="AM160" i="1"/>
  <c r="AE160" i="1" s="1"/>
  <c r="AQ160" i="1" s="1"/>
  <c r="AM159" i="1"/>
  <c r="AN159" i="1" s="1"/>
  <c r="AM156" i="1"/>
  <c r="AN156" i="1" s="1"/>
  <c r="AM154" i="1"/>
  <c r="AN154" i="1" s="1"/>
  <c r="AM152" i="1"/>
  <c r="AN152" i="1" s="1"/>
  <c r="AM151" i="1"/>
  <c r="AE151" i="1" s="1"/>
  <c r="AQ151" i="1" s="1"/>
  <c r="AM150" i="1"/>
  <c r="AN150" i="1" s="1"/>
  <c r="AM149" i="1"/>
  <c r="AM148" i="1"/>
  <c r="AM147" i="1"/>
  <c r="AN147" i="1" s="1"/>
  <c r="AM146" i="1"/>
  <c r="AE146" i="1" s="1"/>
  <c r="AQ146" i="1" s="1"/>
  <c r="AM145" i="1"/>
  <c r="AN145" i="1" s="1"/>
  <c r="AM144" i="1"/>
  <c r="AN144" i="1" s="1"/>
  <c r="AM143" i="1"/>
  <c r="AN143" i="1" s="1"/>
  <c r="AM141" i="1"/>
  <c r="AE141" i="1" s="1"/>
  <c r="AQ141" i="1" s="1"/>
  <c r="AM121" i="1"/>
  <c r="AN121" i="1" s="1"/>
  <c r="AM95" i="1"/>
  <c r="AN95" i="1" s="1"/>
  <c r="AM87" i="1"/>
  <c r="AE87" i="1" s="1"/>
  <c r="AQ87" i="1" s="1"/>
  <c r="AM84" i="1"/>
  <c r="AN84" i="1" s="1"/>
  <c r="AM81" i="1"/>
  <c r="AN81" i="1" s="1"/>
  <c r="AM80" i="1"/>
  <c r="AN80" i="1" s="1"/>
  <c r="AM78" i="1"/>
  <c r="AN78" i="1" s="1"/>
  <c r="AM77" i="1"/>
  <c r="AN77" i="1" s="1"/>
  <c r="AM72" i="1"/>
  <c r="AN72" i="1" s="1"/>
  <c r="AM44" i="1"/>
  <c r="AM39" i="1"/>
  <c r="AE39" i="1" s="1"/>
  <c r="AQ39" i="1" s="1"/>
  <c r="AM38" i="1"/>
  <c r="AN38" i="1" s="1"/>
  <c r="AM35" i="1"/>
  <c r="AN35" i="1" s="1"/>
  <c r="AM29" i="1"/>
  <c r="AE29" i="1" s="1"/>
  <c r="AQ29" i="1" s="1"/>
  <c r="AM21" i="1"/>
  <c r="AN21" i="1" s="1"/>
  <c r="AM140" i="1"/>
  <c r="AM139" i="1"/>
  <c r="AN139" i="1" s="1"/>
  <c r="AM138" i="1"/>
  <c r="AN138" i="1" s="1"/>
  <c r="AM137" i="1"/>
  <c r="AM136" i="1"/>
  <c r="AN136" i="1" s="1"/>
  <c r="AM135" i="1"/>
  <c r="AN135" i="1" s="1"/>
  <c r="AM134" i="1"/>
  <c r="AN134" i="1" s="1"/>
  <c r="AM133" i="1"/>
  <c r="AM132" i="1"/>
  <c r="AM131" i="1"/>
  <c r="AM128" i="1"/>
  <c r="AN128" i="1" s="1"/>
  <c r="AM127" i="1"/>
  <c r="AM126" i="1"/>
  <c r="AE126" i="1" s="1"/>
  <c r="AQ126" i="1" s="1"/>
  <c r="AM125" i="1"/>
  <c r="AM124" i="1"/>
  <c r="AM123" i="1"/>
  <c r="AE123" i="1" s="1"/>
  <c r="AQ123" i="1" s="1"/>
  <c r="AM122" i="1"/>
  <c r="AM120" i="1"/>
  <c r="AM118" i="1"/>
  <c r="AM117" i="1"/>
  <c r="AM116" i="1"/>
  <c r="AM114" i="1"/>
  <c r="AM113" i="1"/>
  <c r="AM112" i="1"/>
  <c r="AM111" i="1"/>
  <c r="AM110" i="1"/>
  <c r="AM109" i="1"/>
  <c r="AN109" i="1" s="1"/>
  <c r="AM108" i="1"/>
  <c r="AM107" i="1"/>
  <c r="AE107" i="1" s="1"/>
  <c r="AQ107" i="1" s="1"/>
  <c r="AM106" i="1"/>
  <c r="AM105" i="1"/>
  <c r="AM104" i="1"/>
  <c r="AM101" i="1"/>
  <c r="AN101" i="1" s="1"/>
  <c r="AM99" i="1"/>
  <c r="AM93" i="1"/>
  <c r="AM92" i="1"/>
  <c r="AM91" i="1"/>
  <c r="AN91" i="1" s="1"/>
  <c r="AM90" i="1"/>
  <c r="AM89" i="1"/>
  <c r="AN89" i="1" s="1"/>
  <c r="AM88" i="1"/>
  <c r="AN88" i="1" s="1"/>
  <c r="AM85" i="1"/>
  <c r="AM79" i="1"/>
  <c r="AM76" i="1"/>
  <c r="AM75" i="1"/>
  <c r="AM74" i="1"/>
  <c r="AE74" i="1" s="1"/>
  <c r="AQ74" i="1" s="1"/>
  <c r="AM73" i="1"/>
  <c r="AM71" i="1"/>
  <c r="AM70" i="1"/>
  <c r="AM66" i="1"/>
  <c r="AM55" i="1"/>
  <c r="AM46" i="1"/>
  <c r="AM45" i="1"/>
  <c r="AM43" i="1"/>
  <c r="AM41" i="1"/>
  <c r="AM40" i="1"/>
  <c r="AM37" i="1"/>
  <c r="AN37" i="1" s="1"/>
  <c r="AM36" i="1"/>
  <c r="AN36" i="1" s="1"/>
  <c r="AM33" i="1"/>
  <c r="AM32" i="1"/>
  <c r="AN32" i="1" s="1"/>
  <c r="AM28" i="1"/>
  <c r="AN28" i="1" s="1"/>
  <c r="AM26" i="1"/>
  <c r="AM18" i="1"/>
  <c r="AN18" i="1" s="1"/>
  <c r="AM142" i="1"/>
  <c r="AE142" i="1" s="1"/>
  <c r="AQ142" i="1" s="1"/>
  <c r="AM17" i="1"/>
  <c r="AN17" i="1" s="1"/>
  <c r="AM13" i="1"/>
  <c r="AE13" i="1" s="1"/>
  <c r="AQ13" i="1" s="1"/>
  <c r="AM11" i="1"/>
  <c r="AN11" i="1" s="1"/>
  <c r="AM10" i="1"/>
  <c r="AN10" i="1" s="1"/>
  <c r="AM9" i="1"/>
  <c r="AM8" i="1"/>
  <c r="AM7" i="1"/>
  <c r="AN7" i="1" s="1"/>
  <c r="AM5" i="1"/>
  <c r="AM3" i="1"/>
  <c r="AL178" i="1"/>
  <c r="AN178" i="1" s="1"/>
  <c r="AL177" i="1"/>
  <c r="AN177" i="1" s="1"/>
  <c r="AL176" i="1"/>
  <c r="AL175" i="1"/>
  <c r="AN175" i="1" s="1"/>
  <c r="AL174" i="1"/>
  <c r="AN174" i="1" s="1"/>
  <c r="AL173" i="1"/>
  <c r="AN173" i="1" s="1"/>
  <c r="AL172" i="1"/>
  <c r="AN172" i="1" s="1"/>
  <c r="AL171" i="1"/>
  <c r="AN171" i="1" s="1"/>
  <c r="AL170" i="1"/>
  <c r="AN170" i="1" s="1"/>
  <c r="AL169" i="1"/>
  <c r="AN169" i="1" s="1"/>
  <c r="AL168" i="1"/>
  <c r="AN168" i="1" s="1"/>
  <c r="AL167" i="1"/>
  <c r="AN167" i="1" s="1"/>
  <c r="AL166" i="1"/>
  <c r="AL165" i="1"/>
  <c r="AL164" i="1"/>
  <c r="AN164" i="1" s="1"/>
  <c r="AL163" i="1"/>
  <c r="AL162" i="1"/>
  <c r="AL161" i="1"/>
  <c r="AL160" i="1"/>
  <c r="AL159" i="1"/>
  <c r="AL156" i="1"/>
  <c r="AL154" i="1"/>
  <c r="AL152" i="1"/>
  <c r="AL151" i="1"/>
  <c r="AL150" i="1"/>
  <c r="AL149" i="1"/>
  <c r="AL148" i="1"/>
  <c r="AL147" i="1"/>
  <c r="AL146" i="1"/>
  <c r="AL145" i="1"/>
  <c r="AL144" i="1"/>
  <c r="AL143" i="1"/>
  <c r="AL141" i="1"/>
  <c r="AN141" i="1" s="1"/>
  <c r="AL121" i="1"/>
  <c r="AL95" i="1"/>
  <c r="AL87" i="1"/>
  <c r="AL84" i="1"/>
  <c r="AL81" i="1"/>
  <c r="AL80" i="1"/>
  <c r="AL78" i="1"/>
  <c r="AL77" i="1"/>
  <c r="AL72" i="1"/>
  <c r="AL44" i="1"/>
  <c r="AL39" i="1"/>
  <c r="AL38" i="1"/>
  <c r="AL35" i="1"/>
  <c r="AL29" i="1"/>
  <c r="AL21" i="1"/>
  <c r="AL140" i="1"/>
  <c r="AL139" i="1"/>
  <c r="AL138" i="1"/>
  <c r="AL137" i="1"/>
  <c r="AL136" i="1"/>
  <c r="AL135" i="1"/>
  <c r="AL134" i="1"/>
  <c r="AL133" i="1"/>
  <c r="AN133" i="1" s="1"/>
  <c r="AL132" i="1"/>
  <c r="AN132" i="1" s="1"/>
  <c r="AL131" i="1"/>
  <c r="AN131" i="1" s="1"/>
  <c r="AL128" i="1"/>
  <c r="AL127" i="1"/>
  <c r="AN127" i="1" s="1"/>
  <c r="AL126" i="1"/>
  <c r="AL125" i="1"/>
  <c r="AL124" i="1"/>
  <c r="AN124" i="1" s="1"/>
  <c r="AL123" i="1"/>
  <c r="AL122" i="1"/>
  <c r="AN122" i="1" s="1"/>
  <c r="AL120" i="1"/>
  <c r="AN120" i="1" s="1"/>
  <c r="AL118" i="1"/>
  <c r="AL117" i="1"/>
  <c r="AN117" i="1" s="1"/>
  <c r="AL116" i="1"/>
  <c r="AN116" i="1" s="1"/>
  <c r="AL114" i="1"/>
  <c r="AN114" i="1" s="1"/>
  <c r="AL113" i="1"/>
  <c r="AN113" i="1" s="1"/>
  <c r="AL112" i="1"/>
  <c r="AN112" i="1" s="1"/>
  <c r="AL111" i="1"/>
  <c r="AN111" i="1" s="1"/>
  <c r="AL110" i="1"/>
  <c r="AN110" i="1" s="1"/>
  <c r="AL109" i="1"/>
  <c r="AL108" i="1"/>
  <c r="AN108" i="1" s="1"/>
  <c r="AL107" i="1"/>
  <c r="AL106" i="1"/>
  <c r="AL105" i="1"/>
  <c r="AN105" i="1" s="1"/>
  <c r="AL104" i="1"/>
  <c r="AL101" i="1"/>
  <c r="AL99" i="1"/>
  <c r="AN99" i="1" s="1"/>
  <c r="AL93" i="1"/>
  <c r="AL92" i="1"/>
  <c r="AL91" i="1"/>
  <c r="AL90" i="1"/>
  <c r="AL89" i="1"/>
  <c r="AL88" i="1"/>
  <c r="AL85" i="1"/>
  <c r="AN85" i="1" s="1"/>
  <c r="AL79" i="1"/>
  <c r="AN79" i="1" s="1"/>
  <c r="AL76" i="1"/>
  <c r="AN76" i="1" s="1"/>
  <c r="AL75" i="1"/>
  <c r="AN75" i="1" s="1"/>
  <c r="AL74" i="1"/>
  <c r="AL73" i="1"/>
  <c r="AL71" i="1"/>
  <c r="AN71" i="1" s="1"/>
  <c r="AL70" i="1"/>
  <c r="AL66" i="1"/>
  <c r="AN66" i="1" s="1"/>
  <c r="AL55" i="1"/>
  <c r="AN55" i="1" s="1"/>
  <c r="AL46" i="1"/>
  <c r="AL45" i="1"/>
  <c r="AN45" i="1" s="1"/>
  <c r="AL43" i="1"/>
  <c r="AN43" i="1" s="1"/>
  <c r="AL41" i="1"/>
  <c r="AN41" i="1" s="1"/>
  <c r="AL40" i="1"/>
  <c r="AL37" i="1"/>
  <c r="AL36" i="1"/>
  <c r="AL33" i="1"/>
  <c r="AL32" i="1"/>
  <c r="AL28" i="1"/>
  <c r="AL26" i="1"/>
  <c r="AL18" i="1"/>
  <c r="AL142" i="1"/>
  <c r="AN142" i="1" s="1"/>
  <c r="AL17" i="1"/>
  <c r="AL13" i="1"/>
  <c r="AN13" i="1" s="1"/>
  <c r="AL11" i="1"/>
  <c r="AL10" i="1"/>
  <c r="AL9" i="1"/>
  <c r="AL8" i="1"/>
  <c r="AL7" i="1"/>
  <c r="AL5" i="1"/>
  <c r="AL3" i="1"/>
  <c r="AN3" i="1" s="1"/>
  <c r="X26" i="1"/>
  <c r="X18" i="1"/>
  <c r="X142" i="1"/>
  <c r="X17" i="1"/>
  <c r="X13" i="1"/>
  <c r="X11" i="1"/>
  <c r="X10" i="1"/>
  <c r="X9" i="1"/>
  <c r="X8" i="1"/>
  <c r="X7" i="1"/>
  <c r="X5" i="1"/>
  <c r="AD9" i="1"/>
  <c r="AE9" i="1" s="1"/>
  <c r="AQ9" i="1" s="1"/>
  <c r="AD83" i="2"/>
  <c r="AE83" i="2" s="1"/>
  <c r="AB83" i="2"/>
  <c r="AD82" i="2"/>
  <c r="AE82" i="2" s="1"/>
  <c r="AB82" i="2"/>
  <c r="AD81" i="2"/>
  <c r="AE81" i="2" s="1"/>
  <c r="AB81" i="2"/>
  <c r="AE80" i="2"/>
  <c r="AD80" i="2"/>
  <c r="AB80" i="2"/>
  <c r="AD79" i="2"/>
  <c r="AE79" i="2" s="1"/>
  <c r="AB79" i="2"/>
  <c r="AD78" i="2"/>
  <c r="AE78" i="2" s="1"/>
  <c r="AB78" i="2"/>
  <c r="AD77" i="2"/>
  <c r="AE77" i="2" s="1"/>
  <c r="AB77" i="2"/>
  <c r="AE76" i="2"/>
  <c r="AD76" i="2"/>
  <c r="AB76" i="2"/>
  <c r="AD75" i="2"/>
  <c r="AE75" i="2" s="1"/>
  <c r="AB75" i="2"/>
  <c r="AD74" i="2"/>
  <c r="AE74" i="2" s="1"/>
  <c r="AB74" i="2"/>
  <c r="AE73" i="2"/>
  <c r="AD73" i="2"/>
  <c r="AB73" i="2"/>
  <c r="AE72" i="2"/>
  <c r="AD72" i="2"/>
  <c r="AB72" i="2"/>
  <c r="AE71" i="2"/>
  <c r="AD71" i="2"/>
  <c r="AB71" i="2"/>
  <c r="AD70" i="2"/>
  <c r="AE70" i="2" s="1"/>
  <c r="AB70" i="2"/>
  <c r="AD69" i="2"/>
  <c r="AE69" i="2" s="1"/>
  <c r="AB69" i="2"/>
  <c r="AD68" i="2"/>
  <c r="AE68" i="2" s="1"/>
  <c r="AB68" i="2"/>
  <c r="AE67" i="2"/>
  <c r="AD67" i="2"/>
  <c r="AB67" i="2"/>
  <c r="AD66" i="2"/>
  <c r="AE66" i="2" s="1"/>
  <c r="AB66" i="2"/>
  <c r="AD65" i="2"/>
  <c r="AE65" i="2" s="1"/>
  <c r="AB65" i="2"/>
  <c r="AE64" i="2"/>
  <c r="AD64" i="2"/>
  <c r="AB64" i="2"/>
  <c r="AE63" i="2"/>
  <c r="AD63" i="2"/>
  <c r="AB63" i="2"/>
  <c r="AD62" i="2"/>
  <c r="AE62" i="2" s="1"/>
  <c r="AB62" i="2"/>
  <c r="AD61" i="2"/>
  <c r="AE61" i="2" s="1"/>
  <c r="AB61" i="2"/>
  <c r="AE60" i="2"/>
  <c r="AD60" i="2"/>
  <c r="AB60" i="2"/>
  <c r="AD59" i="2"/>
  <c r="AE59" i="2" s="1"/>
  <c r="AB59" i="2"/>
  <c r="AD58" i="2"/>
  <c r="AE58" i="2" s="1"/>
  <c r="AB58" i="2"/>
  <c r="AE57" i="2"/>
  <c r="AD57" i="2"/>
  <c r="AB57" i="2"/>
  <c r="AE56" i="2"/>
  <c r="AD56" i="2"/>
  <c r="AB56" i="2"/>
  <c r="AE55" i="2"/>
  <c r="AD55" i="2"/>
  <c r="AB55" i="2"/>
  <c r="AD54" i="2"/>
  <c r="AE54" i="2" s="1"/>
  <c r="AB54" i="2"/>
  <c r="AD53" i="2"/>
  <c r="AE53" i="2" s="1"/>
  <c r="AB53" i="2"/>
  <c r="AD52" i="2"/>
  <c r="AE52" i="2" s="1"/>
  <c r="AB52" i="2"/>
  <c r="AE51" i="2"/>
  <c r="AD51" i="2"/>
  <c r="AB51" i="2"/>
  <c r="AD50" i="2"/>
  <c r="AE50" i="2" s="1"/>
  <c r="AB50" i="2"/>
  <c r="AD49" i="2"/>
  <c r="AE49" i="2" s="1"/>
  <c r="AB49" i="2"/>
  <c r="AE48" i="2"/>
  <c r="AD48" i="2"/>
  <c r="AB48" i="2"/>
  <c r="AE47" i="2"/>
  <c r="AD47" i="2"/>
  <c r="AB47" i="2"/>
  <c r="AD46" i="2"/>
  <c r="AE46" i="2" s="1"/>
  <c r="AB46" i="2"/>
  <c r="AD45" i="2"/>
  <c r="AE45" i="2" s="1"/>
  <c r="AB45" i="2"/>
  <c r="AE44" i="2"/>
  <c r="AD44" i="2"/>
  <c r="AB44" i="2"/>
  <c r="AD43" i="2"/>
  <c r="AE43" i="2" s="1"/>
  <c r="AB43" i="2"/>
  <c r="AD42" i="2"/>
  <c r="AE42" i="2" s="1"/>
  <c r="AB42" i="2"/>
  <c r="AE41" i="2"/>
  <c r="AD41" i="2"/>
  <c r="AB41" i="2"/>
  <c r="AE40" i="2"/>
  <c r="AD40" i="2"/>
  <c r="AB40" i="2"/>
  <c r="AE39" i="2"/>
  <c r="AD39" i="2"/>
  <c r="AB39" i="2"/>
  <c r="AD38" i="2"/>
  <c r="AE38" i="2" s="1"/>
  <c r="AB38" i="2"/>
  <c r="AD37" i="2"/>
  <c r="AE37" i="2" s="1"/>
  <c r="AB37" i="2"/>
  <c r="AD36" i="2"/>
  <c r="AE36" i="2" s="1"/>
  <c r="AB36" i="2"/>
  <c r="AE35" i="2"/>
  <c r="AD35" i="2"/>
  <c r="AB35" i="2"/>
  <c r="AD34" i="2"/>
  <c r="AE34" i="2" s="1"/>
  <c r="AB34" i="2"/>
  <c r="AD33" i="2"/>
  <c r="AE33" i="2" s="1"/>
  <c r="AB33" i="2"/>
  <c r="AE32" i="2"/>
  <c r="AD32" i="2"/>
  <c r="AB32" i="2"/>
  <c r="AE31" i="2"/>
  <c r="AD31" i="2"/>
  <c r="AB31" i="2"/>
  <c r="AD30" i="2"/>
  <c r="AE30" i="2" s="1"/>
  <c r="AB30" i="2"/>
  <c r="AD29" i="2"/>
  <c r="AE29" i="2" s="1"/>
  <c r="AB29" i="2"/>
  <c r="AE28" i="2"/>
  <c r="AD28" i="2"/>
  <c r="AB28" i="2"/>
  <c r="AD27" i="2"/>
  <c r="AE27" i="2" s="1"/>
  <c r="AB27" i="2"/>
  <c r="AD26" i="2"/>
  <c r="AE26" i="2" s="1"/>
  <c r="AB26" i="2"/>
  <c r="AE25" i="2"/>
  <c r="AD25" i="2"/>
  <c r="AB25" i="2"/>
  <c r="AE24" i="2"/>
  <c r="AD24" i="2"/>
  <c r="AB24" i="2"/>
  <c r="AE23" i="2"/>
  <c r="AD23" i="2"/>
  <c r="AB23" i="2"/>
  <c r="AD22" i="2"/>
  <c r="AE22" i="2" s="1"/>
  <c r="AB22" i="2"/>
  <c r="AD21" i="2"/>
  <c r="AE21" i="2" s="1"/>
  <c r="AB21" i="2"/>
  <c r="AD20" i="2"/>
  <c r="AE20" i="2" s="1"/>
  <c r="AB20" i="2"/>
  <c r="AE19" i="2"/>
  <c r="AD19" i="2"/>
  <c r="AB19" i="2"/>
  <c r="AD18" i="2"/>
  <c r="AE18" i="2" s="1"/>
  <c r="AB18" i="2"/>
  <c r="AD17" i="2"/>
  <c r="AE17" i="2" s="1"/>
  <c r="AB17" i="2"/>
  <c r="AE16" i="2"/>
  <c r="AD16" i="2"/>
  <c r="AB16" i="2"/>
  <c r="AE15" i="2"/>
  <c r="AD15" i="2"/>
  <c r="AB15" i="2"/>
  <c r="AD14" i="2"/>
  <c r="AE14" i="2" s="1"/>
  <c r="AB14" i="2"/>
  <c r="AD13" i="2"/>
  <c r="AE13" i="2" s="1"/>
  <c r="AB13" i="2"/>
  <c r="AE12" i="2"/>
  <c r="AD12" i="2"/>
  <c r="AB12" i="2"/>
  <c r="AD11" i="2"/>
  <c r="AE11" i="2" s="1"/>
  <c r="AB11" i="2"/>
  <c r="AD10" i="2"/>
  <c r="AE10" i="2" s="1"/>
  <c r="AB10" i="2"/>
  <c r="AE9" i="2"/>
  <c r="AD9" i="2"/>
  <c r="AB9" i="2"/>
  <c r="AE8" i="2"/>
  <c r="AD8" i="2"/>
  <c r="AB8" i="2"/>
  <c r="AE7" i="2"/>
  <c r="AD7" i="2"/>
  <c r="AB7" i="2"/>
  <c r="AD6" i="2"/>
  <c r="AE6" i="2" s="1"/>
  <c r="AB6" i="2"/>
  <c r="AD5" i="2"/>
  <c r="AE5" i="2" s="1"/>
  <c r="AB5" i="2"/>
  <c r="AD4" i="2"/>
  <c r="AE4" i="2" s="1"/>
  <c r="AB4" i="2"/>
  <c r="AE3" i="2"/>
  <c r="AD3" i="2"/>
  <c r="AB3" i="2"/>
  <c r="AD2" i="2"/>
  <c r="AE2" i="2" s="1"/>
  <c r="AB2" i="2"/>
  <c r="AD8" i="1"/>
  <c r="AE8" i="1" s="1"/>
  <c r="AQ8" i="1" s="1"/>
  <c r="AB8" i="1"/>
  <c r="AD6" i="1"/>
  <c r="AB6" i="1"/>
  <c r="X6" i="1"/>
  <c r="AD11" i="1"/>
  <c r="AE11" i="1" s="1"/>
  <c r="AQ11" i="1" s="1"/>
  <c r="AB11" i="1"/>
  <c r="AD150" i="1"/>
  <c r="AE150" i="1" s="1"/>
  <c r="AQ150" i="1" s="1"/>
  <c r="AB150" i="1"/>
  <c r="X150" i="1"/>
  <c r="AD4" i="1"/>
  <c r="AB4" i="1"/>
  <c r="X4" i="1"/>
  <c r="AD5" i="1"/>
  <c r="AE5" i="1" s="1"/>
  <c r="AQ5" i="1" s="1"/>
  <c r="AB5" i="1"/>
  <c r="AD145" i="1"/>
  <c r="AE145" i="1" s="1"/>
  <c r="AQ145" i="1" s="1"/>
  <c r="AB145" i="1"/>
  <c r="X145" i="1"/>
  <c r="AD144" i="1"/>
  <c r="AE144" i="1" s="1"/>
  <c r="AQ144" i="1" s="1"/>
  <c r="AB144" i="1"/>
  <c r="X144" i="1"/>
  <c r="AD146" i="1"/>
  <c r="AB146" i="1"/>
  <c r="X146" i="1"/>
  <c r="AD149" i="1"/>
  <c r="AB149" i="1"/>
  <c r="X149" i="1"/>
  <c r="AE149" i="1" s="1"/>
  <c r="AQ149" i="1" s="1"/>
  <c r="AD148" i="1"/>
  <c r="AE148" i="1" s="1"/>
  <c r="AQ148" i="1" s="1"/>
  <c r="AB148" i="1"/>
  <c r="X148" i="1"/>
  <c r="AD10" i="1"/>
  <c r="AE10" i="1" s="1"/>
  <c r="AQ10" i="1" s="1"/>
  <c r="AB10" i="1"/>
  <c r="AD143" i="1"/>
  <c r="AE143" i="1" s="1"/>
  <c r="AQ143" i="1" s="1"/>
  <c r="AB143" i="1"/>
  <c r="X143" i="1"/>
  <c r="AD147" i="1"/>
  <c r="AE147" i="1" s="1"/>
  <c r="AQ147" i="1" s="1"/>
  <c r="AB147" i="1"/>
  <c r="X147" i="1"/>
  <c r="AD129" i="1"/>
  <c r="AB129" i="1"/>
  <c r="X129" i="1"/>
  <c r="AD17" i="1"/>
  <c r="AE17" i="1" s="1"/>
  <c r="AQ17" i="1" s="1"/>
  <c r="AB17" i="1"/>
  <c r="AD7" i="1"/>
  <c r="AE7" i="1" s="1"/>
  <c r="AQ7" i="1" s="1"/>
  <c r="AB7" i="1"/>
  <c r="AD3" i="1"/>
  <c r="AE3" i="1" s="1"/>
  <c r="AQ3" i="1" s="1"/>
  <c r="AB3" i="1"/>
  <c r="X3" i="1"/>
  <c r="AD177" i="1"/>
  <c r="AE177" i="1" s="1"/>
  <c r="AQ177" i="1" s="1"/>
  <c r="AB177" i="1"/>
  <c r="X177" i="1"/>
  <c r="AD176" i="1"/>
  <c r="AE176" i="1" s="1"/>
  <c r="AQ176" i="1" s="1"/>
  <c r="AB176" i="1"/>
  <c r="X176" i="1"/>
  <c r="AD174" i="1"/>
  <c r="AE174" i="1" s="1"/>
  <c r="AQ174" i="1" s="1"/>
  <c r="AB174" i="1"/>
  <c r="X174" i="1"/>
  <c r="AD173" i="1"/>
  <c r="AE173" i="1" s="1"/>
  <c r="AQ173" i="1" s="1"/>
  <c r="AB173" i="1"/>
  <c r="X173" i="1"/>
  <c r="AD172" i="1"/>
  <c r="AE172" i="1" s="1"/>
  <c r="AQ172" i="1" s="1"/>
  <c r="AB172" i="1"/>
  <c r="X172" i="1"/>
  <c r="AD171" i="1"/>
  <c r="AE171" i="1" s="1"/>
  <c r="AQ171" i="1" s="1"/>
  <c r="AB171" i="1"/>
  <c r="X171" i="1"/>
  <c r="AD170" i="1"/>
  <c r="AE170" i="1" s="1"/>
  <c r="AQ170" i="1" s="1"/>
  <c r="AB170" i="1"/>
  <c r="X170" i="1"/>
  <c r="AD169" i="1"/>
  <c r="AB169" i="1"/>
  <c r="X169" i="1"/>
  <c r="AD168" i="1"/>
  <c r="AB168" i="1"/>
  <c r="X168" i="1"/>
  <c r="AD167" i="1"/>
  <c r="AE167" i="1" s="1"/>
  <c r="AQ167" i="1" s="1"/>
  <c r="AB167" i="1"/>
  <c r="X167" i="1"/>
  <c r="AD166" i="1"/>
  <c r="AB166" i="1"/>
  <c r="X166" i="1"/>
  <c r="AD165" i="1"/>
  <c r="AE165" i="1" s="1"/>
  <c r="AB165" i="1"/>
  <c r="X165" i="1"/>
  <c r="AD164" i="1"/>
  <c r="AE164" i="1" s="1"/>
  <c r="AQ164" i="1" s="1"/>
  <c r="AB164" i="1"/>
  <c r="X164" i="1"/>
  <c r="AD163" i="1"/>
  <c r="AE163" i="1" s="1"/>
  <c r="AQ163" i="1" s="1"/>
  <c r="AB163" i="1"/>
  <c r="X163" i="1"/>
  <c r="AD162" i="1"/>
  <c r="AE162" i="1" s="1"/>
  <c r="AQ162" i="1" s="1"/>
  <c r="AB162" i="1"/>
  <c r="X162" i="1"/>
  <c r="AD161" i="1"/>
  <c r="AE161" i="1" s="1"/>
  <c r="AQ161" i="1" s="1"/>
  <c r="AB161" i="1"/>
  <c r="X161" i="1"/>
  <c r="AD159" i="1"/>
  <c r="AE159" i="1" s="1"/>
  <c r="AQ159" i="1" s="1"/>
  <c r="AB159" i="1"/>
  <c r="X159" i="1"/>
  <c r="AD154" i="1"/>
  <c r="AE154" i="1" s="1"/>
  <c r="AQ154" i="1" s="1"/>
  <c r="AB154" i="1"/>
  <c r="X154" i="1"/>
  <c r="AD152" i="1"/>
  <c r="AE152" i="1" s="1"/>
  <c r="AQ152" i="1" s="1"/>
  <c r="AB152" i="1"/>
  <c r="X152" i="1"/>
  <c r="AD130" i="1"/>
  <c r="AB130" i="1"/>
  <c r="X130" i="1"/>
  <c r="AD156" i="1"/>
  <c r="AE156" i="1" s="1"/>
  <c r="AQ156" i="1" s="1"/>
  <c r="AB156" i="1"/>
  <c r="X156" i="1"/>
  <c r="AD178" i="1"/>
  <c r="AE178" i="1" s="1"/>
  <c r="AQ178" i="1" s="1"/>
  <c r="AB178" i="1"/>
  <c r="X178" i="1"/>
  <c r="AD153" i="1"/>
  <c r="AB153" i="1"/>
  <c r="X153" i="1"/>
  <c r="AD25" i="1"/>
  <c r="AB25" i="1"/>
  <c r="X25" i="1"/>
  <c r="AD23" i="1"/>
  <c r="AB23" i="1"/>
  <c r="X23" i="1"/>
  <c r="AD22" i="1"/>
  <c r="AB22" i="1"/>
  <c r="X22" i="1"/>
  <c r="AD32" i="1"/>
  <c r="AB32" i="1"/>
  <c r="X32" i="1"/>
  <c r="AD20" i="1"/>
  <c r="AB20" i="1"/>
  <c r="X20" i="1"/>
  <c r="AD19" i="1"/>
  <c r="AB19" i="1"/>
  <c r="X19" i="1"/>
  <c r="AD28" i="1"/>
  <c r="AE28" i="1" s="1"/>
  <c r="AQ28" i="1" s="1"/>
  <c r="AB28" i="1"/>
  <c r="X28" i="1"/>
  <c r="AD26" i="1"/>
  <c r="AE26" i="1" s="1"/>
  <c r="AQ26" i="1" s="1"/>
  <c r="AB26" i="1"/>
  <c r="AD16" i="1"/>
  <c r="AB16" i="1"/>
  <c r="X16" i="1"/>
  <c r="AD15" i="1"/>
  <c r="AB15" i="1"/>
  <c r="X15" i="1"/>
  <c r="AD14" i="1"/>
  <c r="AB14" i="1"/>
  <c r="X14" i="1"/>
  <c r="AD140" i="1"/>
  <c r="AE140" i="1" s="1"/>
  <c r="AQ140" i="1" s="1"/>
  <c r="AB140" i="1"/>
  <c r="X140" i="1"/>
  <c r="AD139" i="1"/>
  <c r="AE139" i="1" s="1"/>
  <c r="AQ139" i="1" s="1"/>
  <c r="AB139" i="1"/>
  <c r="X139" i="1"/>
  <c r="AD119" i="1"/>
  <c r="AB119" i="1"/>
  <c r="X119" i="1"/>
  <c r="AD138" i="1"/>
  <c r="AE138" i="1" s="1"/>
  <c r="AQ138" i="1" s="1"/>
  <c r="AB138" i="1"/>
  <c r="X138" i="1"/>
  <c r="AD137" i="1"/>
  <c r="AE137" i="1" s="1"/>
  <c r="AQ137" i="1" s="1"/>
  <c r="AB137" i="1"/>
  <c r="X137" i="1"/>
  <c r="AD136" i="1"/>
  <c r="AE136" i="1" s="1"/>
  <c r="AQ136" i="1" s="1"/>
  <c r="AB136" i="1"/>
  <c r="X136" i="1"/>
  <c r="AD115" i="1"/>
  <c r="AB115" i="1"/>
  <c r="X115" i="1"/>
  <c r="AD135" i="1"/>
  <c r="AE135" i="1" s="1"/>
  <c r="AQ135" i="1" s="1"/>
  <c r="AB135" i="1"/>
  <c r="X135" i="1"/>
  <c r="AD134" i="1"/>
  <c r="AE134" i="1" s="1"/>
  <c r="AQ134" i="1" s="1"/>
  <c r="AB134" i="1"/>
  <c r="X134" i="1"/>
  <c r="AD133" i="1"/>
  <c r="AE133" i="1" s="1"/>
  <c r="AQ133" i="1" s="1"/>
  <c r="AB133" i="1"/>
  <c r="X133" i="1"/>
  <c r="AD131" i="1"/>
  <c r="AB131" i="1"/>
  <c r="X131" i="1"/>
  <c r="AD128" i="1"/>
  <c r="AB128" i="1"/>
  <c r="X128" i="1"/>
  <c r="AD127" i="1"/>
  <c r="AE127" i="1" s="1"/>
  <c r="AB127" i="1"/>
  <c r="X127" i="1"/>
  <c r="AD126" i="1"/>
  <c r="AB126" i="1"/>
  <c r="X126" i="1"/>
  <c r="AD125" i="1"/>
  <c r="AE125" i="1" s="1"/>
  <c r="AQ125" i="1" s="1"/>
  <c r="AB125" i="1"/>
  <c r="X125" i="1"/>
  <c r="AD124" i="1"/>
  <c r="AE124" i="1" s="1"/>
  <c r="AQ124" i="1" s="1"/>
  <c r="AB124" i="1"/>
  <c r="X124" i="1"/>
  <c r="AD123" i="1"/>
  <c r="AB123" i="1"/>
  <c r="X123" i="1"/>
  <c r="AD103" i="1"/>
  <c r="AB103" i="1"/>
  <c r="X103" i="1"/>
  <c r="AD102" i="1"/>
  <c r="AB102" i="1"/>
  <c r="X102" i="1"/>
  <c r="AD122" i="1"/>
  <c r="AE122" i="1" s="1"/>
  <c r="AQ122" i="1" s="1"/>
  <c r="AB122" i="1"/>
  <c r="X122" i="1"/>
  <c r="AD120" i="1"/>
  <c r="AE120" i="1" s="1"/>
  <c r="AQ120" i="1" s="1"/>
  <c r="AB120" i="1"/>
  <c r="X120" i="1"/>
  <c r="AD98" i="1"/>
  <c r="AB98" i="1"/>
  <c r="X98" i="1"/>
  <c r="AD97" i="1"/>
  <c r="AB97" i="1"/>
  <c r="X97" i="1"/>
  <c r="AD96" i="1"/>
  <c r="AB96" i="1"/>
  <c r="X96" i="1"/>
  <c r="AD118" i="1"/>
  <c r="AE118" i="1" s="1"/>
  <c r="AQ118" i="1" s="1"/>
  <c r="AB118" i="1"/>
  <c r="X118" i="1"/>
  <c r="AD94" i="1"/>
  <c r="AB94" i="1"/>
  <c r="X94" i="1"/>
  <c r="AD117" i="1"/>
  <c r="AE117" i="1" s="1"/>
  <c r="AQ117" i="1" s="1"/>
  <c r="AB117" i="1"/>
  <c r="X117" i="1"/>
  <c r="AD116" i="1"/>
  <c r="AE116" i="1" s="1"/>
  <c r="AQ116" i="1" s="1"/>
  <c r="AB116" i="1"/>
  <c r="X116" i="1"/>
  <c r="AD114" i="1"/>
  <c r="AE114" i="1" s="1"/>
  <c r="AQ114" i="1" s="1"/>
  <c r="AB114" i="1"/>
  <c r="X114" i="1"/>
  <c r="AD113" i="1"/>
  <c r="AE113" i="1" s="1"/>
  <c r="AQ113" i="1" s="1"/>
  <c r="AB113" i="1"/>
  <c r="X113" i="1"/>
  <c r="AD111" i="1"/>
  <c r="AE111" i="1" s="1"/>
  <c r="AQ111" i="1" s="1"/>
  <c r="AB111" i="1"/>
  <c r="X111" i="1"/>
  <c r="AD110" i="1"/>
  <c r="AB110" i="1"/>
  <c r="X110" i="1"/>
  <c r="AD86" i="1"/>
  <c r="AB86" i="1"/>
  <c r="X86" i="1"/>
  <c r="AD109" i="1"/>
  <c r="AB109" i="1"/>
  <c r="X109" i="1"/>
  <c r="AD108" i="1"/>
  <c r="AE108" i="1" s="1"/>
  <c r="AB108" i="1"/>
  <c r="X108" i="1"/>
  <c r="AD83" i="1"/>
  <c r="AB83" i="1"/>
  <c r="X83" i="1"/>
  <c r="AD82" i="1"/>
  <c r="AB82" i="1"/>
  <c r="X82" i="1"/>
  <c r="AD107" i="1"/>
  <c r="AB107" i="1"/>
  <c r="X107" i="1"/>
  <c r="AD106" i="1"/>
  <c r="AE106" i="1" s="1"/>
  <c r="AQ106" i="1" s="1"/>
  <c r="AB106" i="1"/>
  <c r="X106" i="1"/>
  <c r="AD105" i="1"/>
  <c r="AE105" i="1" s="1"/>
  <c r="AQ105" i="1" s="1"/>
  <c r="AB105" i="1"/>
  <c r="X105" i="1"/>
  <c r="AD101" i="1"/>
  <c r="AE101" i="1" s="1"/>
  <c r="AQ101" i="1" s="1"/>
  <c r="AB101" i="1"/>
  <c r="X101" i="1"/>
  <c r="AD99" i="1"/>
  <c r="AE99" i="1" s="1"/>
  <c r="AQ99" i="1" s="1"/>
  <c r="AB99" i="1"/>
  <c r="X99" i="1"/>
  <c r="AD93" i="1"/>
  <c r="AE93" i="1" s="1"/>
  <c r="AQ93" i="1" s="1"/>
  <c r="AB93" i="1"/>
  <c r="X93" i="1"/>
  <c r="AD92" i="1"/>
  <c r="AE92" i="1" s="1"/>
  <c r="AQ92" i="1" s="1"/>
  <c r="AB92" i="1"/>
  <c r="X92" i="1"/>
  <c r="AD91" i="1"/>
  <c r="AE91" i="1" s="1"/>
  <c r="AQ91" i="1" s="1"/>
  <c r="AB91" i="1"/>
  <c r="X91" i="1"/>
  <c r="AD90" i="1"/>
  <c r="AE90" i="1" s="1"/>
  <c r="AQ90" i="1" s="1"/>
  <c r="AB90" i="1"/>
  <c r="X90" i="1"/>
  <c r="AD89" i="1"/>
  <c r="AE89" i="1" s="1"/>
  <c r="AQ89" i="1" s="1"/>
  <c r="AB89" i="1"/>
  <c r="X89" i="1"/>
  <c r="AD88" i="1"/>
  <c r="AE88" i="1" s="1"/>
  <c r="AQ88" i="1" s="1"/>
  <c r="AB88" i="1"/>
  <c r="X88" i="1"/>
  <c r="AD69" i="1"/>
  <c r="AB69" i="1"/>
  <c r="X69" i="1"/>
  <c r="AD68" i="1"/>
  <c r="AB68" i="1"/>
  <c r="X68" i="1"/>
  <c r="AD85" i="1"/>
  <c r="AE85" i="1" s="1"/>
  <c r="AQ85" i="1" s="1"/>
  <c r="AB85" i="1"/>
  <c r="X85" i="1"/>
  <c r="AD65" i="1"/>
  <c r="AB65" i="1"/>
  <c r="X65" i="1"/>
  <c r="AD64" i="1"/>
  <c r="AB64" i="1"/>
  <c r="X64" i="1"/>
  <c r="AD63" i="1"/>
  <c r="AB63" i="1"/>
  <c r="X63" i="1"/>
  <c r="AD62" i="1"/>
  <c r="AB62" i="1"/>
  <c r="X62" i="1"/>
  <c r="AD61" i="1"/>
  <c r="AB61" i="1"/>
  <c r="X61" i="1"/>
  <c r="AD60" i="1"/>
  <c r="AB60" i="1"/>
  <c r="X60" i="1"/>
  <c r="AD59" i="1"/>
  <c r="AB59" i="1"/>
  <c r="X59" i="1"/>
  <c r="AD58" i="1"/>
  <c r="AB58" i="1"/>
  <c r="X58" i="1"/>
  <c r="AD57" i="1"/>
  <c r="AB57" i="1"/>
  <c r="X57" i="1"/>
  <c r="AD79" i="1"/>
  <c r="AB79" i="1"/>
  <c r="X79" i="1"/>
  <c r="AE79" i="1" s="1"/>
  <c r="AQ79" i="1" s="1"/>
  <c r="AD54" i="1"/>
  <c r="AB54" i="1"/>
  <c r="X54" i="1"/>
  <c r="AD53" i="1"/>
  <c r="AB53" i="1"/>
  <c r="X53" i="1"/>
  <c r="AD52" i="1"/>
  <c r="AB52" i="1"/>
  <c r="X52" i="1"/>
  <c r="AD51" i="1"/>
  <c r="AB51" i="1"/>
  <c r="X51" i="1"/>
  <c r="AD50" i="1"/>
  <c r="AB50" i="1"/>
  <c r="X50" i="1"/>
  <c r="AD49" i="1"/>
  <c r="AB49" i="1"/>
  <c r="X49" i="1"/>
  <c r="AD48" i="1"/>
  <c r="AB48" i="1"/>
  <c r="X48" i="1"/>
  <c r="AD47" i="1"/>
  <c r="AB47" i="1"/>
  <c r="X47" i="1"/>
  <c r="AD76" i="1"/>
  <c r="AB76" i="1"/>
  <c r="X76" i="1"/>
  <c r="AD74" i="1"/>
  <c r="AB74" i="1"/>
  <c r="X74" i="1"/>
  <c r="AD73" i="1"/>
  <c r="AE73" i="1" s="1"/>
  <c r="AQ73" i="1" s="1"/>
  <c r="AB73" i="1"/>
  <c r="X73" i="1"/>
  <c r="AD42" i="1"/>
  <c r="AB42" i="1"/>
  <c r="X42" i="1"/>
  <c r="AD71" i="1"/>
  <c r="AE71" i="1" s="1"/>
  <c r="AQ71" i="1" s="1"/>
  <c r="AB71" i="1"/>
  <c r="X71" i="1"/>
  <c r="AD70" i="1"/>
  <c r="AE70" i="1" s="1"/>
  <c r="AQ70" i="1" s="1"/>
  <c r="AB70" i="1"/>
  <c r="X70" i="1"/>
  <c r="AD66" i="1"/>
  <c r="AE66" i="1" s="1"/>
  <c r="AQ66" i="1" s="1"/>
  <c r="AB66" i="1"/>
  <c r="X66" i="1"/>
  <c r="AD55" i="1"/>
  <c r="AE55" i="1" s="1"/>
  <c r="AQ55" i="1" s="1"/>
  <c r="AB55" i="1"/>
  <c r="X55" i="1"/>
  <c r="AD46" i="1"/>
  <c r="AE46" i="1" s="1"/>
  <c r="AQ46" i="1" s="1"/>
  <c r="AB46" i="1"/>
  <c r="X46" i="1"/>
  <c r="AD45" i="1"/>
  <c r="AE45" i="1" s="1"/>
  <c r="AB45" i="1"/>
  <c r="X45" i="1"/>
  <c r="AD43" i="1"/>
  <c r="AE43" i="1" s="1"/>
  <c r="AQ43" i="1" s="1"/>
  <c r="AB43" i="1"/>
  <c r="X43" i="1"/>
  <c r="AD41" i="1"/>
  <c r="AE41" i="1" s="1"/>
  <c r="AB41" i="1"/>
  <c r="X41" i="1"/>
  <c r="AD40" i="1"/>
  <c r="AE40" i="1" s="1"/>
  <c r="AQ40" i="1" s="1"/>
  <c r="AB40" i="1"/>
  <c r="X40" i="1"/>
  <c r="AD31" i="1"/>
  <c r="AB31" i="1"/>
  <c r="X31" i="1"/>
  <c r="AD30" i="1"/>
  <c r="AB30" i="1"/>
  <c r="X30" i="1"/>
  <c r="AD37" i="1"/>
  <c r="AE37" i="1" s="1"/>
  <c r="AQ37" i="1" s="1"/>
  <c r="AB37" i="1"/>
  <c r="X37" i="1"/>
  <c r="AD36" i="1"/>
  <c r="AE36" i="1" s="1"/>
  <c r="AQ36" i="1" s="1"/>
  <c r="AB36" i="1"/>
  <c r="X36" i="1"/>
  <c r="AD27" i="1"/>
  <c r="AB27" i="1"/>
  <c r="X27" i="1"/>
  <c r="AD33" i="1"/>
  <c r="AE33" i="1" s="1"/>
  <c r="AQ33" i="1" s="1"/>
  <c r="AB33" i="1"/>
  <c r="X33" i="1"/>
  <c r="AD24" i="1"/>
  <c r="AB24" i="1"/>
  <c r="X24" i="1"/>
  <c r="AD18" i="1"/>
  <c r="AE18" i="1" s="1"/>
  <c r="AQ18" i="1" s="1"/>
  <c r="AB18" i="1"/>
  <c r="AD132" i="1"/>
  <c r="AE132" i="1" s="1"/>
  <c r="AB132" i="1"/>
  <c r="X132" i="1"/>
  <c r="AD100" i="1"/>
  <c r="AB100" i="1"/>
  <c r="X100" i="1"/>
  <c r="AD112" i="1"/>
  <c r="AE112" i="1" s="1"/>
  <c r="AQ112" i="1" s="1"/>
  <c r="AB112" i="1"/>
  <c r="X112" i="1"/>
  <c r="AD104" i="1"/>
  <c r="AE104" i="1" s="1"/>
  <c r="AB104" i="1"/>
  <c r="X104" i="1"/>
  <c r="AD67" i="1"/>
  <c r="AB67" i="1"/>
  <c r="X67" i="1"/>
  <c r="AD56" i="1"/>
  <c r="AB56" i="1"/>
  <c r="X56" i="1"/>
  <c r="AD75" i="1"/>
  <c r="AE75" i="1" s="1"/>
  <c r="AQ75" i="1" s="1"/>
  <c r="AB75" i="1"/>
  <c r="X75" i="1"/>
  <c r="AD34" i="1"/>
  <c r="AB34" i="1"/>
  <c r="X34" i="1"/>
  <c r="AG3" i="1"/>
  <c r="AD12" i="1"/>
  <c r="AB12" i="1"/>
  <c r="X12" i="1"/>
  <c r="AE35" i="1" l="1"/>
  <c r="AQ35" i="1" s="1"/>
  <c r="AE38" i="1"/>
  <c r="AQ38" i="1" s="1"/>
  <c r="AE77" i="1"/>
  <c r="AQ77" i="1" s="1"/>
  <c r="AN46" i="1"/>
  <c r="AN118" i="1"/>
  <c r="AN160" i="1"/>
  <c r="AN176" i="1"/>
  <c r="AN151" i="1"/>
  <c r="AE78" i="1"/>
  <c r="AQ78" i="1" s="1"/>
  <c r="AE80" i="1"/>
  <c r="AQ80" i="1" s="1"/>
  <c r="AE81" i="1"/>
  <c r="AQ81" i="1" s="1"/>
  <c r="AN70" i="1"/>
  <c r="AN104" i="1"/>
  <c r="AQ104" i="1" s="1"/>
  <c r="AN123" i="1"/>
  <c r="AE84" i="1"/>
  <c r="AQ84" i="1" s="1"/>
  <c r="AN125" i="1"/>
  <c r="AN165" i="1"/>
  <c r="AQ165" i="1" s="1"/>
  <c r="AE95" i="1"/>
  <c r="AQ95" i="1" s="1"/>
  <c r="AN73" i="1"/>
  <c r="AN106" i="1"/>
  <c r="AN26" i="1"/>
  <c r="AN74" i="1"/>
  <c r="AN107" i="1"/>
  <c r="AN126" i="1"/>
  <c r="AN166" i="1"/>
  <c r="AE121" i="1"/>
  <c r="AQ121" i="1" s="1"/>
  <c r="AQ108" i="1"/>
  <c r="AQ127" i="1"/>
  <c r="AE21" i="1"/>
  <c r="AQ21" i="1" s="1"/>
  <c r="AQ132" i="1"/>
  <c r="AQ41" i="1"/>
  <c r="AQ45" i="1"/>
  <c r="AE34" i="1"/>
  <c r="AE67" i="1"/>
  <c r="AE98" i="1"/>
  <c r="AE49" i="1"/>
  <c r="AE119" i="1"/>
  <c r="AE27" i="1"/>
  <c r="AE51" i="1"/>
  <c r="AE23" i="1"/>
  <c r="AE12" i="1"/>
  <c r="AE15" i="1"/>
  <c r="AE54" i="1"/>
  <c r="AE6" i="1"/>
  <c r="AE94" i="1"/>
  <c r="AE57" i="1"/>
  <c r="AE103" i="1"/>
  <c r="AE63" i="1"/>
  <c r="AE56" i="1"/>
  <c r="AE86" i="1"/>
  <c r="AE53" i="1"/>
  <c r="AE50" i="1"/>
  <c r="AE62" i="1"/>
  <c r="AE68" i="1"/>
  <c r="AE102" i="1"/>
  <c r="AE96" i="1"/>
  <c r="AE58" i="1"/>
  <c r="AE97" i="1"/>
  <c r="AE115" i="1"/>
  <c r="AE130" i="1"/>
  <c r="AE42" i="1"/>
  <c r="AE129" i="1"/>
  <c r="AE31" i="1"/>
  <c r="AE19" i="1"/>
  <c r="AE4" i="1"/>
  <c r="AE82" i="1"/>
  <c r="AE24" i="1"/>
  <c r="AE30" i="1"/>
  <c r="AE47" i="1"/>
  <c r="AE52" i="1"/>
  <c r="AE14" i="1"/>
  <c r="AE69" i="1"/>
  <c r="AE25" i="1"/>
  <c r="AE48" i="1"/>
  <c r="AE59" i="1"/>
  <c r="AE64" i="1"/>
  <c r="AE20" i="1"/>
  <c r="AE153" i="1"/>
  <c r="AE100" i="1"/>
  <c r="AE60" i="1"/>
  <c r="AE65" i="1"/>
  <c r="AE16" i="1"/>
  <c r="AE61" i="1"/>
  <c r="AE22" i="1"/>
  <c r="AE83" i="1"/>
</calcChain>
</file>

<file path=xl/sharedStrings.xml><?xml version="1.0" encoding="utf-8"?>
<sst xmlns="http://schemas.openxmlformats.org/spreadsheetml/2006/main" count="3610" uniqueCount="424">
  <si>
    <t>Catalog</t>
  </si>
  <si>
    <t>Object</t>
  </si>
  <si>
    <t>Common Name (if any)</t>
  </si>
  <si>
    <t>Typical Best Visibility (N. Hemisphere)</t>
  </si>
  <si>
    <t>Imaged?</t>
  </si>
  <si>
    <t>Notes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</si>
  <si>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</si>
  <si>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</si>
  <si>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</si>
  <si>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</si>
  <si>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</si>
  <si>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</si>
  <si>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</si>
  <si>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</si>
  <si>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</si>
  <si>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</si>
  <si>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</si>
  <si>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</si>
  <si>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Angular Size (arcmin)</t>
  </si>
  <si>
    <t>Integration Time (min)</t>
  </si>
  <si>
    <t>Gain / Mode</t>
  </si>
  <si>
    <t>Re-image?</t>
  </si>
  <si>
    <t>Seestar Suitability (1-5)</t>
  </si>
  <si>
    <t>Mosaic Needed?</t>
  </si>
  <si>
    <t>Object Type</t>
  </si>
  <si>
    <t>Surface Brightness Class</t>
  </si>
  <si>
    <t>Moon Tolerance</t>
  </si>
  <si>
    <t>Recommended Integration (min)</t>
  </si>
  <si>
    <t>Altitude Priority</t>
  </si>
  <si>
    <t>Smart Suitability (1-10)</t>
  </si>
  <si>
    <t>Tonight's Pick</t>
  </si>
  <si>
    <t>Current Month</t>
  </si>
  <si>
    <t>Pick Month Column</t>
  </si>
  <si>
    <t>RA (hours)</t>
  </si>
  <si>
    <t>Dec (deg)</t>
  </si>
  <si>
    <t>Transit Month (best)</t>
  </si>
  <si>
    <t>Best Hour (local)</t>
  </si>
  <si>
    <t>Tonight: Up? (&gt;=20°)</t>
  </si>
  <si>
    <t>Tonight: Best time (local)</t>
  </si>
  <si>
    <t>Tonight: Max Alt (deg)</t>
  </si>
  <si>
    <t>Messier</t>
  </si>
  <si>
    <t>M 1</t>
  </si>
  <si>
    <t>Crab Nebula</t>
  </si>
  <si>
    <t>Jan–Mar</t>
  </si>
  <si>
    <t>Yes</t>
  </si>
  <si>
    <t>✔</t>
  </si>
  <si>
    <t>Emission Nebula</t>
  </si>
  <si>
    <t>High (easy)</t>
  </si>
  <si>
    <t>Medium</t>
  </si>
  <si>
    <t>High (best &gt;50°)</t>
  </si>
  <si>
    <t>(auto)</t>
  </si>
  <si>
    <t>21:40</t>
  </si>
  <si>
    <t>22:40</t>
  </si>
  <si>
    <t>M 2</t>
  </si>
  <si>
    <t>Globular Cluster</t>
  </si>
  <si>
    <t>Aug–Oct</t>
  </si>
  <si>
    <t>High (OK with Moon)</t>
  </si>
  <si>
    <t>No</t>
  </si>
  <si>
    <t>19:00</t>
  </si>
  <si>
    <t>M 3</t>
  </si>
  <si>
    <t>May–Jul</t>
  </si>
  <si>
    <t>21:50</t>
  </si>
  <si>
    <t>03:00</t>
  </si>
  <si>
    <t>M 4</t>
  </si>
  <si>
    <t>22:30</t>
  </si>
  <si>
    <t>M 5</t>
  </si>
  <si>
    <t>21:30</t>
  </si>
  <si>
    <t>M 6</t>
  </si>
  <si>
    <t>Butterfly Cluster</t>
  </si>
  <si>
    <t>Year-round</t>
  </si>
  <si>
    <t>Open Cluster</t>
  </si>
  <si>
    <t>Low (OK)</t>
  </si>
  <si>
    <t>M 7</t>
  </si>
  <si>
    <t>Ptolemy Cluster</t>
  </si>
  <si>
    <t>M 8</t>
  </si>
  <si>
    <t>Lagoon Nebula</t>
  </si>
  <si>
    <t>Jun–Aug</t>
  </si>
  <si>
    <t>22:10</t>
  </si>
  <si>
    <t>M 9</t>
  </si>
  <si>
    <t>M 10</t>
  </si>
  <si>
    <t>21:10</t>
  </si>
  <si>
    <t>M 11</t>
  </si>
  <si>
    <t>Wild Duck Cluster</t>
  </si>
  <si>
    <t>23:00</t>
  </si>
  <si>
    <t>M 12</t>
  </si>
  <si>
    <t>M 13</t>
  </si>
  <si>
    <t>Hercules Globular</t>
  </si>
  <si>
    <t>22:50</t>
  </si>
  <si>
    <t>M 14</t>
  </si>
  <si>
    <t>M 15</t>
  </si>
  <si>
    <t>M 16</t>
  </si>
  <si>
    <t>Eagle Nebula</t>
  </si>
  <si>
    <t>M 17</t>
  </si>
  <si>
    <t>Omega Nebula</t>
  </si>
  <si>
    <t>M 18</t>
  </si>
  <si>
    <t>M 19</t>
  </si>
  <si>
    <t>M 20</t>
  </si>
  <si>
    <t>Trifid Nebula</t>
  </si>
  <si>
    <t>M 21</t>
  </si>
  <si>
    <t>M 22</t>
  </si>
  <si>
    <t>Sagittarius Globular</t>
  </si>
  <si>
    <t>M 23</t>
  </si>
  <si>
    <t>M 24</t>
  </si>
  <si>
    <t>Sagittarius Star Cloud</t>
  </si>
  <si>
    <t>Asterism</t>
  </si>
  <si>
    <t>M 25</t>
  </si>
  <si>
    <t>M 26</t>
  </si>
  <si>
    <t>M 27</t>
  </si>
  <si>
    <t>Dumbbell Nebula</t>
  </si>
  <si>
    <t>Jul–Sep</t>
  </si>
  <si>
    <t>M 28</t>
  </si>
  <si>
    <t>M 29</t>
  </si>
  <si>
    <t>M 30</t>
  </si>
  <si>
    <t>M 31</t>
  </si>
  <si>
    <t>Andromeda Galaxy</t>
  </si>
  <si>
    <t>Aug–Nov</t>
  </si>
  <si>
    <t>Galaxy</t>
  </si>
  <si>
    <t>Low (needs dark)</t>
  </si>
  <si>
    <t>M 32</t>
  </si>
  <si>
    <t>Satellite of M31</t>
  </si>
  <si>
    <t>M 33</t>
  </si>
  <si>
    <t>Triangulum Galaxy</t>
  </si>
  <si>
    <t>M 34</t>
  </si>
  <si>
    <t>Oct–Dec</t>
  </si>
  <si>
    <t>M 35</t>
  </si>
  <si>
    <t>Dec–Feb</t>
  </si>
  <si>
    <t>M 36</t>
  </si>
  <si>
    <t>M 37</t>
  </si>
  <si>
    <t>M 38</t>
  </si>
  <si>
    <t>M 39</t>
  </si>
  <si>
    <t>M 40</t>
  </si>
  <si>
    <t>Double Star</t>
  </si>
  <si>
    <t>Year‑round</t>
  </si>
  <si>
    <t>M 41</t>
  </si>
  <si>
    <t>M 42</t>
  </si>
  <si>
    <t>Orion Nebula</t>
  </si>
  <si>
    <t>Dec–Mar</t>
  </si>
  <si>
    <t>M 43</t>
  </si>
  <si>
    <t>De Mairan's Nebula</t>
  </si>
  <si>
    <t>M 44</t>
  </si>
  <si>
    <t>Beehive Cluster</t>
  </si>
  <si>
    <t>Feb–Apr</t>
  </si>
  <si>
    <t>M 45</t>
  </si>
  <si>
    <t>Pleiades</t>
  </si>
  <si>
    <t>Nov–Feb</t>
  </si>
  <si>
    <t>20:50</t>
  </si>
  <si>
    <t>M 46</t>
  </si>
  <si>
    <t>00:40</t>
  </si>
  <si>
    <t>M 47</t>
  </si>
  <si>
    <t>M 48</t>
  </si>
  <si>
    <t>01:20</t>
  </si>
  <si>
    <t>M 49</t>
  </si>
  <si>
    <t>Virgo Elliptical Galaxy</t>
  </si>
  <si>
    <t>M 50</t>
  </si>
  <si>
    <t>21:00</t>
  </si>
  <si>
    <t>00:10</t>
  </si>
  <si>
    <t>M 51</t>
  </si>
  <si>
    <t>Whirlpool Galaxy</t>
  </si>
  <si>
    <t>Apr–Jun</t>
  </si>
  <si>
    <t>M 52</t>
  </si>
  <si>
    <t>M 53</t>
  </si>
  <si>
    <t>21:20</t>
  </si>
  <si>
    <t>M 54</t>
  </si>
  <si>
    <t>M 55</t>
  </si>
  <si>
    <t>M 56</t>
  </si>
  <si>
    <t>M 57</t>
  </si>
  <si>
    <t>Ring Nebula</t>
  </si>
  <si>
    <t>Planetary Nebula</t>
  </si>
  <si>
    <t>M 58</t>
  </si>
  <si>
    <t>M 59</t>
  </si>
  <si>
    <t>M 60</t>
  </si>
  <si>
    <t>M 61</t>
  </si>
  <si>
    <t>M 62</t>
  </si>
  <si>
    <t>M 63</t>
  </si>
  <si>
    <t>Sunflower Galaxy</t>
  </si>
  <si>
    <t>M 64</t>
  </si>
  <si>
    <t>Black Eye Galaxy</t>
  </si>
  <si>
    <t>M 65</t>
  </si>
  <si>
    <t>Leo Spiral Galaxy</t>
  </si>
  <si>
    <t>Mar–Jun</t>
  </si>
  <si>
    <t>M 66</t>
  </si>
  <si>
    <t>M 67</t>
  </si>
  <si>
    <t>01:50</t>
  </si>
  <si>
    <t>M 68</t>
  </si>
  <si>
    <t>M 69</t>
  </si>
  <si>
    <t>M 70</t>
  </si>
  <si>
    <t>M 71</t>
  </si>
  <si>
    <t>M 72</t>
  </si>
  <si>
    <t>M 73</t>
  </si>
  <si>
    <t>M 74</t>
  </si>
  <si>
    <t>Spiral Galaxy</t>
  </si>
  <si>
    <t>M 75</t>
  </si>
  <si>
    <t>M 76</t>
  </si>
  <si>
    <t>Little Dumbbell</t>
  </si>
  <si>
    <t>M 77</t>
  </si>
  <si>
    <t>Seyfert Galaxy</t>
  </si>
  <si>
    <t>M 78</t>
  </si>
  <si>
    <t>Reflection Nebula</t>
  </si>
  <si>
    <t>M 79</t>
  </si>
  <si>
    <t>M 80</t>
  </si>
  <si>
    <t>M 81</t>
  </si>
  <si>
    <t>Bode’s Galaxy</t>
  </si>
  <si>
    <t>Mar–May</t>
  </si>
  <si>
    <t>M 82</t>
  </si>
  <si>
    <t>Cigar Galaxy</t>
  </si>
  <si>
    <t>M 83</t>
  </si>
  <si>
    <t>M 84</t>
  </si>
  <si>
    <t>M 85</t>
  </si>
  <si>
    <t>M 86</t>
  </si>
  <si>
    <t>M 87</t>
  </si>
  <si>
    <t>M 88</t>
  </si>
  <si>
    <t>M 89</t>
  </si>
  <si>
    <t>M 90</t>
  </si>
  <si>
    <t>M 91</t>
  </si>
  <si>
    <t>M 92</t>
  </si>
  <si>
    <t>M 93</t>
  </si>
  <si>
    <t>M 94</t>
  </si>
  <si>
    <t>M 95</t>
  </si>
  <si>
    <t>Barred Spiral Galaxy</t>
  </si>
  <si>
    <t>M 96</t>
  </si>
  <si>
    <t>M 97</t>
  </si>
  <si>
    <t>Owl Nebula</t>
  </si>
  <si>
    <t>M 98</t>
  </si>
  <si>
    <t>22:20</t>
  </si>
  <si>
    <t>M 99</t>
  </si>
  <si>
    <t>M 100</t>
  </si>
  <si>
    <t>M 101</t>
  </si>
  <si>
    <t>Pinwheel Galaxy</t>
  </si>
  <si>
    <t>M 102</t>
  </si>
  <si>
    <t>Spindle Galaxy</t>
  </si>
  <si>
    <t>M 103</t>
  </si>
  <si>
    <t>M 104</t>
  </si>
  <si>
    <t>Sombrero Galaxy</t>
  </si>
  <si>
    <t>M 105</t>
  </si>
  <si>
    <t>Elliptical Galaxy</t>
  </si>
  <si>
    <t>M 106</t>
  </si>
  <si>
    <t>M 107</t>
  </si>
  <si>
    <t>M 108</t>
  </si>
  <si>
    <t>M 109</t>
  </si>
  <si>
    <t>M 110</t>
  </si>
  <si>
    <t>NGC</t>
  </si>
  <si>
    <t>NGC 869</t>
  </si>
  <si>
    <t>Double Cluster (h Persei)</t>
  </si>
  <si>
    <t>Oct–Jan</t>
  </si>
  <si>
    <t>NGC 884</t>
  </si>
  <si>
    <t>Double Cluster (χ Persei)</t>
  </si>
  <si>
    <t>NGC 253</t>
  </si>
  <si>
    <t>Sculptor Galaxy</t>
  </si>
  <si>
    <t>Sep–Dec</t>
  </si>
  <si>
    <t>NGC 2244</t>
  </si>
  <si>
    <t>Rosette Cluster</t>
  </si>
  <si>
    <t>NGC 2392</t>
  </si>
  <si>
    <t>Eskimo Nebula</t>
  </si>
  <si>
    <t>NGC 2419</t>
  </si>
  <si>
    <t>Intergalactic Wanderer</t>
  </si>
  <si>
    <t>Jan–Apr</t>
  </si>
  <si>
    <t>NGC 2683</t>
  </si>
  <si>
    <t>Edge-on Galaxy</t>
  </si>
  <si>
    <t>NGC 2903</t>
  </si>
  <si>
    <t>NGC 3077</t>
  </si>
  <si>
    <t>NGC 3115</t>
  </si>
  <si>
    <t>NGC 3242</t>
  </si>
  <si>
    <t>Ghost of Jupiter</t>
  </si>
  <si>
    <t>NGC 3628</t>
  </si>
  <si>
    <t>Hamburger Galaxy</t>
  </si>
  <si>
    <t>NGC 4565</t>
  </si>
  <si>
    <t>Needle Galaxy</t>
  </si>
  <si>
    <t>NGC 4631</t>
  </si>
  <si>
    <t>Whale Galaxy</t>
  </si>
  <si>
    <t>NGC 4656</t>
  </si>
  <si>
    <t>Hockey Stick Galaxy</t>
  </si>
  <si>
    <t>NGC 4736</t>
  </si>
  <si>
    <t>M94 group (also M94)</t>
  </si>
  <si>
    <t>NGC 4755</t>
  </si>
  <si>
    <t>Jewel Box (southern)</t>
  </si>
  <si>
    <t>NGC 5907</t>
  </si>
  <si>
    <t>Splinter Galaxy</t>
  </si>
  <si>
    <t>NGC 6210</t>
  </si>
  <si>
    <t>NGC 6543</t>
  </si>
  <si>
    <t>Cat's Eye Nebula</t>
  </si>
  <si>
    <t>Jun–Sep</t>
  </si>
  <si>
    <t>NGC 6960</t>
  </si>
  <si>
    <t>Veil Nebula (Witch's Broom)</t>
  </si>
  <si>
    <t>NGC 7129</t>
  </si>
  <si>
    <t>NGC 7814</t>
  </si>
  <si>
    <t>Little Sombrero</t>
  </si>
  <si>
    <t>Sep–Nov</t>
  </si>
  <si>
    <t>IC</t>
  </si>
  <si>
    <t>IC 1396</t>
  </si>
  <si>
    <t>Elephant Trunk Region</t>
  </si>
  <si>
    <t>IC 342</t>
  </si>
  <si>
    <t>Hidden Galaxy</t>
  </si>
  <si>
    <t>IC 59</t>
  </si>
  <si>
    <t>Galaxy near M31</t>
  </si>
  <si>
    <t>NGC 2175</t>
  </si>
  <si>
    <t>Monkey Head Nebula</t>
  </si>
  <si>
    <t>NGC 2024</t>
  </si>
  <si>
    <t>Flame Nebula</t>
  </si>
  <si>
    <t>NGC 1977</t>
  </si>
  <si>
    <t>Running Man Nebula</t>
  </si>
  <si>
    <t>IC 434</t>
  </si>
  <si>
    <t>Horsehead Region (IC 434)</t>
  </si>
  <si>
    <t>NGC 2068</t>
  </si>
  <si>
    <t>M78 Region (NGC 2068)</t>
  </si>
  <si>
    <t>NGC 2071</t>
  </si>
  <si>
    <t>NGC 1999</t>
  </si>
  <si>
    <t>NGC 1980</t>
  </si>
  <si>
    <t>Orion's Sword Cluster</t>
  </si>
  <si>
    <t>NGC 1981</t>
  </si>
  <si>
    <t>IC 2169</t>
  </si>
  <si>
    <t>37 Cluster</t>
  </si>
  <si>
    <t>IC 2177</t>
  </si>
  <si>
    <t>Nebula near Monkey Head</t>
  </si>
  <si>
    <t>NGC 2264</t>
  </si>
  <si>
    <t>Cone / Christmas Tree</t>
  </si>
  <si>
    <t>IC 447</t>
  </si>
  <si>
    <t>IC 405</t>
  </si>
  <si>
    <t>Flaming Star Nebula</t>
  </si>
  <si>
    <t>IC 410</t>
  </si>
  <si>
    <t>Tadpoles Nebula</t>
  </si>
  <si>
    <t>NGC 147</t>
  </si>
  <si>
    <t>Dwarf Galaxy</t>
  </si>
  <si>
    <t>NGC 281</t>
  </si>
  <si>
    <t>Pacman Nebula</t>
  </si>
  <si>
    <t>NGC 891</t>
  </si>
  <si>
    <t>Edge‑on Galaxy</t>
  </si>
  <si>
    <t>NGC 1499</t>
  </si>
  <si>
    <t>California Nebula</t>
  </si>
  <si>
    <t>NGC 1746</t>
  </si>
  <si>
    <t>NGC 6888</t>
  </si>
  <si>
    <t>Crescent Nebula</t>
  </si>
  <si>
    <t>NGC 6946</t>
  </si>
  <si>
    <t>Fireworks Galaxy</t>
  </si>
  <si>
    <t>NGC 6992</t>
  </si>
  <si>
    <t>Veil Nebula</t>
  </si>
  <si>
    <t>NGC 7000</t>
  </si>
  <si>
    <t>North America Nebula</t>
  </si>
  <si>
    <t>NGC 7023</t>
  </si>
  <si>
    <t>Iris Nebula</t>
  </si>
  <si>
    <t>NGC 7293</t>
  </si>
  <si>
    <t>Helix Nebula</t>
  </si>
  <si>
    <t>NGC 7331</t>
  </si>
  <si>
    <t>NGC 7635</t>
  </si>
  <si>
    <t>Bubble Nebula</t>
  </si>
  <si>
    <t>IC 63</t>
  </si>
  <si>
    <t>Ghost of Cassiopeia</t>
  </si>
  <si>
    <t>IC 1805</t>
  </si>
  <si>
    <t>Heart Nebula</t>
  </si>
  <si>
    <t>Oct–Feb</t>
  </si>
  <si>
    <t>IC 1848</t>
  </si>
  <si>
    <t>Soul Nebula</t>
  </si>
  <si>
    <t>Flaming Star</t>
  </si>
  <si>
    <t>Horsehead Region</t>
  </si>
  <si>
    <t>IC 5146</t>
  </si>
  <si>
    <t>Cocoon Nebula</t>
  </si>
  <si>
    <t>Sharpless</t>
  </si>
  <si>
    <t>Sh2‑129</t>
  </si>
  <si>
    <t>Flying Bat / Squid</t>
  </si>
  <si>
    <t>Jul–Oct</t>
  </si>
  <si>
    <t>Sh2‑142</t>
  </si>
  <si>
    <t>Sh2‑157</t>
  </si>
  <si>
    <t>Lobster Claw</t>
  </si>
  <si>
    <t>Caldwell</t>
  </si>
  <si>
    <t>C 6</t>
  </si>
  <si>
    <t>C 11</t>
  </si>
  <si>
    <t>C 22</t>
  </si>
  <si>
    <t>Blue Snowball</t>
  </si>
  <si>
    <t>C 23</t>
  </si>
  <si>
    <t>Caroline’s Rose</t>
  </si>
  <si>
    <t>C 31</t>
  </si>
  <si>
    <t>C 39</t>
  </si>
  <si>
    <t>C 49</t>
  </si>
  <si>
    <t>Rosette Nebula</t>
  </si>
  <si>
    <t>Star</t>
  </si>
  <si>
    <t>Polaris</t>
  </si>
  <si>
    <t>North Star</t>
  </si>
  <si>
    <t>Aldebaran</t>
  </si>
  <si>
    <t>Alpha Tauri</t>
  </si>
  <si>
    <t>Alcyone</t>
  </si>
  <si>
    <t>Pleiades Core</t>
  </si>
  <si>
    <t>Planet</t>
  </si>
  <si>
    <t>Neptune</t>
  </si>
  <si>
    <t>Yes, collect 3-4 hours</t>
  </si>
  <si>
    <t>not necessary</t>
  </si>
  <si>
    <t>Yes on dark night</t>
  </si>
  <si>
    <t>IC 417</t>
  </si>
  <si>
    <t>NGC 1931</t>
  </si>
  <si>
    <t>Winter</t>
  </si>
  <si>
    <t>Moderate</t>
  </si>
  <si>
    <t>Low</t>
  </si>
  <si>
    <t>Fly Nebula</t>
  </si>
  <si>
    <t>Emission/Reflection Nebula</t>
  </si>
  <si>
    <t>Feb-Mar</t>
  </si>
  <si>
    <t>Fall/Winter</t>
  </si>
  <si>
    <t>Mar-Apr</t>
  </si>
  <si>
    <t>Summer</t>
  </si>
  <si>
    <t>Reflection/Emission Nebula</t>
  </si>
  <si>
    <t>Oct-Nov</t>
  </si>
  <si>
    <t>Spider Nebula</t>
  </si>
  <si>
    <t>Winter/Spring</t>
  </si>
  <si>
    <t>37x19</t>
  </si>
  <si>
    <t>NGC 2359</t>
  </si>
  <si>
    <t>Thors Helmet</t>
  </si>
  <si>
    <t>Jan-Feb</t>
  </si>
  <si>
    <t>Dec-Mar</t>
  </si>
  <si>
    <t>Compact H II region near NGC 1931; good Seestar validation target; brighter than IC 410</t>
  </si>
  <si>
    <t>Seestar Deep Sky</t>
  </si>
  <si>
    <t>Emission Nebula (H II)</t>
  </si>
  <si>
    <t>Moderate (avoid &gt;50%)</t>
  </si>
  <si>
    <t>SH2-235</t>
  </si>
  <si>
    <t>postprocess</t>
  </si>
  <si>
    <t>Emission / Reflection</t>
  </si>
  <si>
    <t>Hercules Globular Cluster</t>
  </si>
  <si>
    <t>Y</t>
  </si>
  <si>
    <t>LP</t>
  </si>
  <si>
    <t>Bright</t>
  </si>
  <si>
    <t>High</t>
  </si>
  <si>
    <t>N</t>
  </si>
  <si>
    <t>Open Cluster / Reflection</t>
  </si>
  <si>
    <t>Autumn</t>
  </si>
  <si>
    <t>Faint</t>
  </si>
  <si>
    <t>Spring</t>
  </si>
  <si>
    <t>Altitude score</t>
  </si>
  <si>
    <t>Pick at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</si>
</sst>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2" borderId="0" xfId="0" applyFill="1"/>
    <xf numFmtId="20" fontId="0" fillId="0" borderId="0" xfId="0" applyNumberFormat="1"/>
    <xf numFmtId="2" fontId="0" fillId="0" borderId="0" xfId="0" applyNumberFormat="1"/>
    <xf numFmtId="164" fontId="0" fillId="0" borderId="0" xfId="1" applyNumberFormat="1" applyFont="1"/>
    <xf numFmtId="0" fontId="0" fillId="0" borderId="0" xfId="0" applyAlignment="1">
      <alignment wrapText="1"/>
    </xf>
    <xf numFmtId="16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Z179"/>
  <sheetViews>
    <sheetView tabSelected="1" workbookViewId="0">
      <pane ySplit="1" topLeftCell="A32" activePane="bottomLeft" state="frozen"/>
      <selection pane="bottomLeft" activeCell="A3" sqref="A3:AQ178"/>
    </sheetView>
  </sheetViews>
  <sheetFormatPr defaultRowHeight="14.4" x14ac:dyDescent="0.3"/>
  <cols>
    <col min="2" max="2" width="14.109375" bestFit="1" customWidth="1"/>
    <col min="3" max="3" width="24.109375" bestFit="1" customWidth="1"/>
    <col min="25" max="25" width="15.88671875" bestFit="1" customWidth="1"/>
    <col min="38" max="38" width="11.77734375" customWidth="1"/>
    <col min="39" max="39" width="8" customWidth="1"/>
    <col min="40" max="40" width="11.109375" customWidth="1"/>
    <col min="41" max="41" width="9.88671875" customWidth="1"/>
    <col min="43" max="43" width="15.33203125" bestFit="1" customWidth="1"/>
  </cols>
  <sheetData>
    <row r="1" spans="1:52" ht="86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s="6" t="s">
        <v>36</v>
      </c>
      <c r="AM1" s="6" t="s">
        <v>37</v>
      </c>
      <c r="AN1" s="6" t="s">
        <v>38</v>
      </c>
      <c r="AO1" s="6" t="s">
        <v>39</v>
      </c>
      <c r="AP1" s="6" t="s">
        <v>422</v>
      </c>
      <c r="AQ1" s="6" t="s">
        <v>423</v>
      </c>
      <c r="AZ1">
        <v>-86.8</v>
      </c>
    </row>
    <row r="2" spans="1:52" x14ac:dyDescent="0.3">
      <c r="B2" s="4"/>
    </row>
    <row r="3" spans="1:52" x14ac:dyDescent="0.3">
      <c r="A3" t="s">
        <v>287</v>
      </c>
      <c r="B3" t="s">
        <v>288</v>
      </c>
      <c r="C3" t="s">
        <v>289</v>
      </c>
      <c r="D3" t="s">
        <v>115</v>
      </c>
      <c r="E3" t="s">
        <v>57</v>
      </c>
      <c r="N3" t="s">
        <v>45</v>
      </c>
      <c r="O3" t="s">
        <v>45</v>
      </c>
      <c r="P3" t="s">
        <v>45</v>
      </c>
      <c r="Q3" t="s">
        <v>45</v>
      </c>
      <c r="S3">
        <v>170</v>
      </c>
      <c r="X3" t="str">
        <f>IF(S3="", "", IF(S3&gt;78,"Yes","No"))</f>
        <v>Yes</v>
      </c>
      <c r="Y3" t="s">
        <v>46</v>
      </c>
      <c r="AB3">
        <f>IF(Y3="Emission Nebula",90,IF(Y3="Reflection Nebula",75,IF(Y3="Planetary Nebula",60,IF(Y3="Galaxy",90,IF(Y3="Globular Cluster",30,IF(Y3="Open Cluster",20,IF(Y3="Comet",20,IF(Y3="Planet",10,IF(Y3="Star",5,45)))))))))</f>
        <v>90</v>
      </c>
      <c r="AD3">
        <f>MAX(1,MIN(10,ROUND((IF(S3="",5,IF(S3&lt;3,2,IF(S3&lt;10,4,IF(S3&lt;=70,8,IF(S3&lt;=100,6,4))))))+IF(Y3="Emission Nebula",2,IF(Y3="Open Cluster",2,IF(Y3="Globular Cluster",2,IF(Y3="Reflection Nebula",1,IF(Y3="Planetary Nebula",1,IF(Y3="Comet",1,0))))))+IF(Z3="High (easy)",2,IF(Z3="Medium",1,IF(Z3="Low (hard)",-1,0)))+IF(AA3="High (OK with Moon)",2,IF(AA3="Medium",0,IF(AA3="Low (needs dark)",-2,0)))+IF(AC3="High (best &gt;50°)",1,IF(AC3="Medium",0,IF(AC3="Low (OK)",-1,0))),0)))</f>
        <v>6</v>
      </c>
      <c r="AE3" t="str">
        <f ca="1">IF(AND(CHOOSE(MONTH(TODAY()),G3,H3,I3,J3,K3,L3,M3,N3,O3,P3,Q3,R3)="✔",AD3&gt;=7,AM3="Yes",AO3&gt;=50,OR(X3="No",X3=""),OR(E3="No",V3="Yes")),"⭐ PICK","")</f>
        <v/>
      </c>
      <c r="AG3" t="str">
        <f ca="1">TEXT(TODAY(),"mmm")</f>
        <v>Mar</v>
      </c>
      <c r="AH3" t="s">
        <v>50</v>
      </c>
      <c r="AI3">
        <v>5.5670000000000002</v>
      </c>
      <c r="AJ3">
        <v>22</v>
      </c>
      <c r="AK3" t="s">
        <v>6</v>
      </c>
      <c r="AL3" s="5">
        <f ca="1">IFERROR(MOD((AI3-(MOD(18.697374558+24.065709824419*(TODAY()-DATE(2000,1,1)+0.5)+$AZ$1/15,24)))/1.00273790935,24)/24,"")</f>
        <v>0.996336578261802</v>
      </c>
      <c r="AM3" t="str">
        <f>IF(AO3&gt;=20,"Yes","No")</f>
        <v>Yes</v>
      </c>
      <c r="AN3" s="7" t="str">
        <f ca="1">IF(AM3="Yes",TEXT(AL3,"h:mm AM/PM"),"")</f>
        <v>11:54 PM</v>
      </c>
      <c r="AO3">
        <v>79</v>
      </c>
      <c r="AP3">
        <f>ROUND(MAX(0,MIN(10,(AO3-20)/6)),1)</f>
        <v>9.8000000000000007</v>
      </c>
      <c r="AQ3" t="str">
        <f ca="1">IF(AE3="⭐ PICK","PICK at "&amp;AN3,"")</f>
        <v/>
      </c>
    </row>
    <row r="4" spans="1:52" hidden="1" x14ac:dyDescent="0.3">
      <c r="A4" t="s">
        <v>287</v>
      </c>
      <c r="B4" t="s">
        <v>311</v>
      </c>
      <c r="C4" t="s">
        <v>312</v>
      </c>
      <c r="D4" t="s">
        <v>136</v>
      </c>
      <c r="E4" t="s">
        <v>44</v>
      </c>
      <c r="G4" t="s">
        <v>45</v>
      </c>
      <c r="H4" t="s">
        <v>45</v>
      </c>
      <c r="I4" t="s">
        <v>45</v>
      </c>
      <c r="R4" t="s">
        <v>45</v>
      </c>
      <c r="S4">
        <v>20</v>
      </c>
      <c r="X4" t="str">
        <f>IF(S4="", "", IF(S4&gt;78,"Yes","No"))</f>
        <v>No</v>
      </c>
      <c r="Y4" t="s">
        <v>46</v>
      </c>
      <c r="Z4" t="s">
        <v>48</v>
      </c>
      <c r="AA4" t="s">
        <v>48</v>
      </c>
      <c r="AB4">
        <f>IF(Y4="Emission Nebula",90,IF(Y4="Reflection Nebula",75,IF(Y4="Planetary Nebula",60,IF(Y4="Galaxy",90,IF(Y4="Globular Cluster",30,IF(Y4="Open Cluster",20,IF(Y4="Comet",20,IF(Y4="Planet",10,IF(Y4="Star",5,45)))))))))</f>
        <v>90</v>
      </c>
      <c r="AC4" t="s">
        <v>49</v>
      </c>
      <c r="AD4">
        <f>MAX(1,MIN(10,ROUND((IF(S4="",5,IF(S4&lt;3,2,IF(S4&lt;10,4,IF(S4&lt;=70,8,IF(S4&lt;=100,6,4))))))+IF(Y4="Emission Nebula",2,IF(Y4="Open Cluster",2,IF(Y4="Globular Cluster",2,IF(Y4="Reflection Nebula",1,IF(Y4="Planetary Nebula",1,IF(Y4="Comet",1,0))))))+IF(Z4="High (easy)",2,IF(Z4="Medium",1,IF(Z4="Low (hard)",-1,0)))+IF(AA4="High (OK with Moon)",2,IF(AA4="Medium",0,IF(AA4="Low (needs dark)",-2,0)))+IF(AC4="High (best &gt;50°)",1,IF(AC4="Medium",0,IF(AC4="Low (OK)",-1,0))),0)))</f>
        <v>10</v>
      </c>
      <c r="AE4" t="str">
        <f ca="1">IF(AND(CHOOSE(MONTH(TODAY()),G4,H4,I4,J4,K4,L4,M4,N4,O4,P4,Q4,R4)="✔",AD4&gt;=7,OR(V4&lt;&gt;"No",V4=""),OR(X4="No",X4="")),"⭐ PICK","")</f>
        <v>⭐ PICK</v>
      </c>
      <c r="AI4">
        <v>13.7</v>
      </c>
      <c r="AJ4">
        <v>28.367000000000001</v>
      </c>
      <c r="AK4" t="s">
        <v>10</v>
      </c>
      <c r="AL4" t="s">
        <v>61</v>
      </c>
      <c r="AM4" t="s">
        <v>44</v>
      </c>
      <c r="AN4" t="s">
        <v>62</v>
      </c>
      <c r="AO4">
        <v>42</v>
      </c>
    </row>
    <row r="5" spans="1:52" x14ac:dyDescent="0.3">
      <c r="A5" t="s">
        <v>287</v>
      </c>
      <c r="B5" t="s">
        <v>309</v>
      </c>
      <c r="C5" t="s">
        <v>310</v>
      </c>
      <c r="D5" t="s">
        <v>136</v>
      </c>
      <c r="E5" t="s">
        <v>44</v>
      </c>
      <c r="F5" t="s">
        <v>410</v>
      </c>
      <c r="G5" t="s">
        <v>45</v>
      </c>
      <c r="H5" t="s">
        <v>45</v>
      </c>
      <c r="I5" t="s">
        <v>45</v>
      </c>
      <c r="R5" t="s">
        <v>45</v>
      </c>
      <c r="S5">
        <v>7</v>
      </c>
      <c r="X5" t="str">
        <f>IF(S5="", "", IF(S5&gt;78,"Yes","No"))</f>
        <v>No</v>
      </c>
      <c r="Y5" t="s">
        <v>70</v>
      </c>
      <c r="Z5" t="s">
        <v>47</v>
      </c>
      <c r="AA5" t="s">
        <v>56</v>
      </c>
      <c r="AB5">
        <f>IF(Y5="Emission Nebula",90,IF(Y5="Reflection Nebula",75,IF(Y5="Planetary Nebula",60,IF(Y5="Galaxy",90,IF(Y5="Globular Cluster",30,IF(Y5="Open Cluster",20,IF(Y5="Comet",20,IF(Y5="Planet",10,IF(Y5="Star",5,45)))))))))</f>
        <v>20</v>
      </c>
      <c r="AC5" t="s">
        <v>49</v>
      </c>
      <c r="AD5">
        <f>MAX(1,MIN(10,ROUND((IF(S5="",5,IF(S5&lt;3,2,IF(S5&lt;10,4,IF(S5&lt;=70,8,IF(S5&lt;=100,6,4))))))+IF(Y5="Emission Nebula",2,IF(Y5="Open Cluster",2,IF(Y5="Globular Cluster",2,IF(Y5="Reflection Nebula",1,IF(Y5="Planetary Nebula",1,IF(Y5="Comet",1,0))))))+IF(Z5="High (easy)",2,IF(Z5="Medium",1,IF(Z5="Low (hard)",-1,0)))+IF(AA5="High (OK with Moon)",2,IF(AA5="Medium",0,IF(AA5="Low (needs dark)",-2,0)))+IF(AC5="High (best &gt;50°)",1,IF(AC5="Medium",0,IF(AC5="Low (OK)",-1,0))),0)))</f>
        <v>10</v>
      </c>
      <c r="AE5" t="str">
        <f ca="1">IF(AND(CHOOSE(MONTH(TODAY()),G5,H5,I5,J5,K5,L5,M5,N5,O5,P5,Q5,R5)="✔",AD5&gt;=7,AM5="Yes",AO5&gt;=50,OR(X5="No",X5=""),OR(E5="No",V5="Yes")),"⭐ PICK","")</f>
        <v/>
      </c>
      <c r="AI5">
        <v>21.55</v>
      </c>
      <c r="AJ5">
        <v>-0.81699999999999995</v>
      </c>
      <c r="AK5" t="s">
        <v>14</v>
      </c>
      <c r="AL5" s="5">
        <f ca="1">IFERROR(MOD((AI5-(MOD(18.697374558+24.065709824419*(TODAY()-DATE(2000,1,1)+0.5)+$AZ$1/15,24)))/1.00273790935,24)/24,"")</f>
        <v>0.6604765565389018</v>
      </c>
      <c r="AM5" t="str">
        <f>IF(AO5&gt;=20,"Yes","No")</f>
        <v>No</v>
      </c>
      <c r="AN5" s="7" t="str">
        <f>IF(AM5="Yes",TEXT(AL5,"h:mm AM/PM"),"")</f>
        <v/>
      </c>
      <c r="AO5">
        <v>19.8</v>
      </c>
      <c r="AP5">
        <f>ROUND(MAX(0,MIN(10,(AO5-20)/6)),1)</f>
        <v>0</v>
      </c>
      <c r="AQ5" t="str">
        <f ca="1">IF(AE5="⭐ PICK","PICK at "&amp;AN5,"")</f>
        <v/>
      </c>
    </row>
    <row r="6" spans="1:52" s="2" customFormat="1" hidden="1" x14ac:dyDescent="0.3">
      <c r="A6" s="2" t="s">
        <v>287</v>
      </c>
      <c r="B6" s="2" t="s">
        <v>316</v>
      </c>
      <c r="C6" s="2" t="s">
        <v>317</v>
      </c>
      <c r="D6" s="2" t="s">
        <v>136</v>
      </c>
      <c r="E6" s="2" t="s">
        <v>44</v>
      </c>
      <c r="G6" s="2" t="s">
        <v>45</v>
      </c>
      <c r="H6" s="2" t="s">
        <v>45</v>
      </c>
      <c r="I6" s="2" t="s">
        <v>45</v>
      </c>
      <c r="R6" s="2" t="s">
        <v>45</v>
      </c>
      <c r="S6" s="2">
        <v>30</v>
      </c>
      <c r="T6" s="2">
        <v>180</v>
      </c>
      <c r="V6" s="2" t="s">
        <v>57</v>
      </c>
      <c r="X6" s="2" t="str">
        <f>IF(S6="", "", IF(S6&gt;78,"Yes","No"))</f>
        <v>No</v>
      </c>
      <c r="Y6" s="2" t="s">
        <v>46</v>
      </c>
      <c r="Z6" s="2" t="s">
        <v>48</v>
      </c>
      <c r="AA6" s="2" t="s">
        <v>117</v>
      </c>
      <c r="AB6" s="2">
        <f>IF(Y6="Emission Nebula",90,IF(Y6="Reflection Nebula",75,IF(Y6="Planetary Nebula",60,IF(Y6="Galaxy",90,IF(Y6="Globular Cluster",30,IF(Y6="Open Cluster",20,IF(Y6="Comet",20,IF(Y6="Planet",10,IF(Y6="Star",5,45)))))))))</f>
        <v>90</v>
      </c>
      <c r="AC6" s="2" t="s">
        <v>49</v>
      </c>
      <c r="AD6" s="2">
        <f>MAX(1,MIN(10,ROUND((IF(S6="",5,IF(S6&lt;3,2,IF(S6&lt;10,4,IF(S6&lt;=70,8,IF(S6&lt;=100,6,4))))))+IF(Y6="Emission Nebula",2,IF(Y6="Open Cluster",2,IF(Y6="Globular Cluster",2,IF(Y6="Reflection Nebula",1,IF(Y6="Planetary Nebula",1,IF(Y6="Comet",1,0))))))+IF(Z6="High (easy)",2,IF(Z6="Medium",1,IF(Z6="Low (hard)",-1,0)))+IF(AA6="High (OK with Moon)",2,IF(AA6="Medium",0,IF(AA6="Low (needs dark)",-2,0)))+IF(AC6="High (best &gt;50°)",1,IF(AC6="Medium",0,IF(AC6="Low (OK)",-1,0))),0)))</f>
        <v>10</v>
      </c>
      <c r="AE6" s="2" t="str">
        <f ca="1">IF(AND(CHOOSE(MONTH(TODAY()),G6,H6,I6,J6,K6,L6,M6,N6,O6,P6,Q6,R6)="✔",AD6&gt;=7,OR(V6&lt;&gt;"No",V6=""),OR(X6="No",X6="")),"⭐ PICK","")</f>
        <v/>
      </c>
      <c r="AI6" s="2">
        <v>15.3</v>
      </c>
      <c r="AJ6" s="2">
        <v>2.0670000000000002</v>
      </c>
      <c r="AK6" s="2" t="s">
        <v>11</v>
      </c>
      <c r="AL6" s="2" t="s">
        <v>66</v>
      </c>
      <c r="AM6" s="2" t="s">
        <v>57</v>
      </c>
      <c r="AN6" s="2" t="s">
        <v>62</v>
      </c>
      <c r="AO6" s="2">
        <v>9.3000000000000007</v>
      </c>
    </row>
    <row r="7" spans="1:52" x14ac:dyDescent="0.3">
      <c r="A7" t="s">
        <v>287</v>
      </c>
      <c r="B7" t="s">
        <v>290</v>
      </c>
      <c r="C7" t="s">
        <v>291</v>
      </c>
      <c r="D7" t="s">
        <v>243</v>
      </c>
      <c r="E7" t="s">
        <v>44</v>
      </c>
      <c r="G7" t="s">
        <v>45</v>
      </c>
      <c r="P7" t="s">
        <v>45</v>
      </c>
      <c r="Q7" t="s">
        <v>45</v>
      </c>
      <c r="R7" t="s">
        <v>45</v>
      </c>
      <c r="S7">
        <v>21</v>
      </c>
      <c r="X7" t="str">
        <f>IF(S7="", "", IF(S7&gt;78,"Yes","No"))</f>
        <v>No</v>
      </c>
      <c r="Y7" t="s">
        <v>116</v>
      </c>
      <c r="AB7">
        <f>IF(Y7="Emission Nebula",90,IF(Y7="Reflection Nebula",75,IF(Y7="Planetary Nebula",60,IF(Y7="Galaxy",90,IF(Y7="Globular Cluster",30,IF(Y7="Open Cluster",20,IF(Y7="Comet",20,IF(Y7="Planet",10,IF(Y7="Star",5,45)))))))))</f>
        <v>90</v>
      </c>
      <c r="AD7">
        <f>MAX(1,MIN(10,ROUND((IF(S7="",5,IF(S7&lt;3,2,IF(S7&lt;10,4,IF(S7&lt;=70,8,IF(S7&lt;=100,6,4))))))+IF(Y7="Emission Nebula",2,IF(Y7="Open Cluster",2,IF(Y7="Globular Cluster",2,IF(Y7="Reflection Nebula",1,IF(Y7="Planetary Nebula",1,IF(Y7="Comet",1,0))))))+IF(Z7="High (easy)",2,IF(Z7="Medium",1,IF(Z7="Low (hard)",-1,0)))+IF(AA7="High (OK with Moon)",2,IF(AA7="Medium",0,IF(AA7="Low (needs dark)",-2,0)))+IF(AC7="High (best &gt;50°)",1,IF(AC7="Medium",0,IF(AC7="Low (OK)",-1,0))),0)))</f>
        <v>8</v>
      </c>
      <c r="AE7" t="str">
        <f ca="1">IF(AND(CHOOSE(MONTH(TODAY()),G7,H7,I7,J7,K7,L7,M7,N7,O7,P7,Q7,R7)="✔",AD7&gt;=7,AM7="Yes",AO7&gt;=50,OR(X7="No",X7=""),OR(E7="No",V7="Yes")),"⭐ PICK","")</f>
        <v/>
      </c>
      <c r="AI7">
        <v>16.382999999999999</v>
      </c>
      <c r="AJ7">
        <v>-26.516999999999999</v>
      </c>
      <c r="AK7" t="s">
        <v>11</v>
      </c>
      <c r="AL7" s="5">
        <f ca="1">IFERROR(MOD((AI7-(MOD(18.697374558+24.065709824419*(TODAY()-DATE(2000,1,1)+0.5)+$AZ$1/15,24)))/1.00273790935,24)/24,"")</f>
        <v>0.44577272948779906</v>
      </c>
      <c r="AM7" t="str">
        <f>IF(AO7&gt;=20,"Yes","No")</f>
        <v>No</v>
      </c>
      <c r="AN7" s="7" t="str">
        <f>IF(AM7="Yes",TEXT(AL7,"h:mm AM/PM"),"")</f>
        <v/>
      </c>
      <c r="AO7">
        <v>-19.2</v>
      </c>
      <c r="AP7">
        <f>ROUND(MAX(0,MIN(10,(AO7-20)/6)),1)</f>
        <v>0</v>
      </c>
      <c r="AQ7" t="str">
        <f ca="1">IF(AE7="⭐ PICK","PICK at "&amp;AN7,"")</f>
        <v/>
      </c>
    </row>
    <row r="8" spans="1:52" x14ac:dyDescent="0.3">
      <c r="A8" t="s">
        <v>287</v>
      </c>
      <c r="B8" t="s">
        <v>318</v>
      </c>
      <c r="C8" t="s">
        <v>319</v>
      </c>
      <c r="D8" t="s">
        <v>136</v>
      </c>
      <c r="E8" t="s">
        <v>44</v>
      </c>
      <c r="G8" t="s">
        <v>45</v>
      </c>
      <c r="H8" t="s">
        <v>45</v>
      </c>
      <c r="I8" t="s">
        <v>45</v>
      </c>
      <c r="R8" t="s">
        <v>45</v>
      </c>
      <c r="S8">
        <v>40</v>
      </c>
      <c r="X8" t="str">
        <f>IF(S8="", "", IF(S8&gt;78,"Yes","No"))</f>
        <v>No</v>
      </c>
      <c r="Y8" t="s">
        <v>46</v>
      </c>
      <c r="Z8" t="s">
        <v>48</v>
      </c>
      <c r="AA8" t="s">
        <v>117</v>
      </c>
      <c r="AB8">
        <f>IF(Y8="Emission Nebula",90,IF(Y8="Reflection Nebula",75,IF(Y8="Planetary Nebula",60,IF(Y8="Galaxy",90,IF(Y8="Globular Cluster",30,IF(Y8="Open Cluster",20,IF(Y8="Comet",20,IF(Y8="Planet",10,IF(Y8="Star",5,45)))))))))</f>
        <v>90</v>
      </c>
      <c r="AC8" t="s">
        <v>49</v>
      </c>
      <c r="AD8">
        <f>MAX(1,MIN(10,ROUND((IF(S8="",5,IF(S8&lt;3,2,IF(S8&lt;10,4,IF(S8&lt;=70,8,IF(S8&lt;=100,6,4))))))+IF(Y8="Emission Nebula",2,IF(Y8="Open Cluster",2,IF(Y8="Globular Cluster",2,IF(Y8="Reflection Nebula",1,IF(Y8="Planetary Nebula",1,IF(Y8="Comet",1,0))))))+IF(Z8="High (easy)",2,IF(Z8="Medium",1,IF(Z8="Low (hard)",-1,0)))+IF(AA8="High (OK with Moon)",2,IF(AA8="Medium",0,IF(AA8="Low (needs dark)",-2,0)))+IF(AC8="High (best &gt;50°)",1,IF(AC8="Medium",0,IF(AC8="Low (OK)",-1,0))),0)))</f>
        <v>10</v>
      </c>
      <c r="AE8" t="str">
        <f ca="1">IF(AND(CHOOSE(MONTH(TODAY()),G8,H8,I8,J8,K8,L8,M8,N8,O8,P8,Q8,R8)="✔",AD8&gt;=7,AM8="Yes",AO8&gt;=50,OR(X8="No",X8=""),OR(E8="No",V8="Yes")),"⭐ PICK","")</f>
        <v/>
      </c>
      <c r="AI8">
        <v>17.667000000000002</v>
      </c>
      <c r="AJ8">
        <v>-32.253</v>
      </c>
      <c r="AK8" t="s">
        <v>12</v>
      </c>
      <c r="AL8" s="5">
        <f ca="1">IFERROR(MOD((AI8-(MOD(18.697374558+24.065709824419*(TODAY()-DATE(2000,1,1)+0.5)+$AZ$1/15,24)))/1.00273790935,24)/24,"")</f>
        <v>0.4991266512864474</v>
      </c>
      <c r="AM8" t="str">
        <f>IF(AO8&gt;=20,"Yes","No")</f>
        <v>No</v>
      </c>
      <c r="AN8" s="7" t="str">
        <f>IF(AM8="Yes",TEXT(AL8,"h:mm AM/PM"),"")</f>
        <v/>
      </c>
      <c r="AO8">
        <v>-36.799999999999997</v>
      </c>
      <c r="AP8">
        <f>ROUND(MAX(0,MIN(10,(AO8-20)/6)),1)</f>
        <v>0</v>
      </c>
      <c r="AQ8" t="str">
        <f ca="1">IF(AE8="⭐ PICK","PICK at "&amp;AN8,"")</f>
        <v/>
      </c>
    </row>
    <row r="9" spans="1:52" x14ac:dyDescent="0.3">
      <c r="A9" t="s">
        <v>287</v>
      </c>
      <c r="B9" t="s">
        <v>385</v>
      </c>
      <c r="C9" t="s">
        <v>385</v>
      </c>
      <c r="D9" t="s">
        <v>404</v>
      </c>
      <c r="E9" t="s">
        <v>44</v>
      </c>
      <c r="F9" t="s">
        <v>405</v>
      </c>
      <c r="G9" t="s">
        <v>45</v>
      </c>
      <c r="H9" t="s">
        <v>45</v>
      </c>
      <c r="I9" t="s">
        <v>45</v>
      </c>
      <c r="S9">
        <v>20</v>
      </c>
      <c r="T9">
        <v>90</v>
      </c>
      <c r="U9" t="s">
        <v>406</v>
      </c>
      <c r="W9">
        <v>4</v>
      </c>
      <c r="X9" t="str">
        <f>IF(S9="", "", IF(S9&gt;78,"Yes","No"))</f>
        <v>No</v>
      </c>
      <c r="Y9" t="s">
        <v>407</v>
      </c>
      <c r="Z9" t="s">
        <v>48</v>
      </c>
      <c r="AA9" t="s">
        <v>408</v>
      </c>
      <c r="AC9" t="s">
        <v>49</v>
      </c>
      <c r="AD9">
        <f>MAX(1,MIN(10,ROUND((IF(S9="",5,IF(S9&lt;3,2,IF(S9&lt;10,4,IF(S9&lt;=70,8,IF(S9&lt;=100,6,4))))))+IF(Y9="Emission Nebula",2,IF(Y9="Open Cluster",2,IF(Y9="Globular Cluster",2,IF(Y9="Reflection Nebula",1,IF(Y9="Planetary Nebula",1,IF(Y9="Comet",1,0))))))+IF(Z9="High (easy)",2,IF(Z9="Medium",1,IF(Z9="Low (hard)",-1,0)))+IF(AA9="High (OK with Moon)",2,IF(AA9="Medium",0,IF(AA9="Low (needs dark)",-2,0)))+IF(AC9="High (best &gt;50°)",1,IF(AC9="Medium",0,IF(AC9="Low (OK)",-1,0))),0)))</f>
        <v>10</v>
      </c>
      <c r="AE9" t="str">
        <f ca="1">IF(AND(CHOOSE(MONTH(TODAY()),G9,H9,I9,J9,K9,L9,M9,N9,O9,P9,Q9,R9)="✔",AD9&gt;=7,AM9="Yes",AO9&gt;=50,OR(X9="No",X9=""),OR(E9="No",V9="Yes")),"⭐ PICK","")</f>
        <v/>
      </c>
      <c r="AI9">
        <v>5.47</v>
      </c>
      <c r="AJ9">
        <v>34.4</v>
      </c>
      <c r="AK9" t="s">
        <v>6</v>
      </c>
      <c r="AL9" s="5">
        <f ca="1">IFERROR(MOD((AI9-(MOD(18.697374558+24.065709824419*(TODAY()-DATE(2000,1,1)+0.5)+$AZ$1/15,24)))/1.00273790935,24)/24,"")</f>
        <v>0.99230594709788544</v>
      </c>
      <c r="AM9" t="str">
        <f>IF(AO9&gt;=20,"Yes","No")</f>
        <v>No</v>
      </c>
      <c r="AN9" s="7" t="str">
        <f>IF(AM9="Yes",TEXT(AL9,"h:mm AM/PM"),"")</f>
        <v/>
      </c>
      <c r="AP9">
        <f>ROUND(MAX(0,MIN(10,(AO9-20)/6)),1)</f>
        <v>0</v>
      </c>
      <c r="AQ9" t="str">
        <f ca="1">IF(AE9="⭐ PICK","PICK at "&amp;AN9,"")</f>
        <v/>
      </c>
    </row>
    <row r="10" spans="1:52" x14ac:dyDescent="0.3">
      <c r="A10" t="s">
        <v>287</v>
      </c>
      <c r="B10" t="s">
        <v>300</v>
      </c>
      <c r="C10" t="s">
        <v>301</v>
      </c>
      <c r="D10" t="s">
        <v>136</v>
      </c>
      <c r="E10" t="s">
        <v>57</v>
      </c>
      <c r="G10" t="s">
        <v>45</v>
      </c>
      <c r="H10" t="s">
        <v>45</v>
      </c>
      <c r="I10" t="s">
        <v>45</v>
      </c>
      <c r="R10" t="s">
        <v>45</v>
      </c>
      <c r="S10">
        <v>60</v>
      </c>
      <c r="X10" t="str">
        <f>IF(S10="", "", IF(S10&gt;78,"Yes","No"))</f>
        <v>No</v>
      </c>
      <c r="Y10" t="s">
        <v>46</v>
      </c>
      <c r="Z10" t="s">
        <v>48</v>
      </c>
      <c r="AA10" t="s">
        <v>117</v>
      </c>
      <c r="AB10">
        <f>IF(Y10="Emission Nebula",90,IF(Y10="Reflection Nebula",75,IF(Y10="Planetary Nebula",60,IF(Y10="Galaxy",90,IF(Y10="Globular Cluster",30,IF(Y10="Open Cluster",20,IF(Y10="Comet",20,IF(Y10="Planet",10,IF(Y10="Star",5,45)))))))))</f>
        <v>90</v>
      </c>
      <c r="AC10" t="s">
        <v>49</v>
      </c>
      <c r="AD10">
        <f>MAX(1,MIN(10,ROUND((IF(S10="",5,IF(S10&lt;3,2,IF(S10&lt;10,4,IF(S10&lt;=70,8,IF(S10&lt;=100,6,4))))))+IF(Y10="Emission Nebula",2,IF(Y10="Open Cluster",2,IF(Y10="Globular Cluster",2,IF(Y10="Reflection Nebula",1,IF(Y10="Planetary Nebula",1,IF(Y10="Comet",1,0))))))+IF(Z10="High (easy)",2,IF(Z10="Medium",1,IF(Z10="Low (hard)",-1,0)))+IF(AA10="High (OK with Moon)",2,IF(AA10="Medium",0,IF(AA10="Low (needs dark)",-2,0)))+IF(AC10="High (best &gt;50°)",1,IF(AC10="Medium",0,IF(AC10="Low (OK)",-1,0))),0)))</f>
        <v>10</v>
      </c>
      <c r="AE10" t="str">
        <f ca="1">IF(AND(CHOOSE(MONTH(TODAY()),G10,H10,I10,J10,K10,L10,M10,N10,O10,P10,Q10,R10)="✔",AD10&gt;=7,AM10="Yes",AO10&gt;=50,OR(X10="No",X10=""),OR(E10="No",V10="Yes")),"⭐ PICK","")</f>
        <v/>
      </c>
      <c r="AI10">
        <v>17.882999999999999</v>
      </c>
      <c r="AJ10">
        <v>-34.792999999999999</v>
      </c>
      <c r="AK10" t="s">
        <v>12</v>
      </c>
      <c r="AL10" s="5">
        <f ca="1">IFERROR(MOD((AI10-(MOD(18.697374558+24.065709824419*(TODAY()-DATE(2000,1,1)+0.5)+$AZ$1/15,24)))/1.00273790935,24)/24,"")</f>
        <v>0.50810207738341617</v>
      </c>
      <c r="AM10" t="str">
        <f>IF(AO10&gt;=20,"Yes","No")</f>
        <v>No</v>
      </c>
      <c r="AN10" s="7" t="str">
        <f>IF(AM10="Yes",TEXT(AL10,"h:mm AM/PM"),"")</f>
        <v/>
      </c>
      <c r="AO10">
        <v>-40.200000000000003</v>
      </c>
      <c r="AP10">
        <f>ROUND(MAX(0,MIN(10,(AO10-20)/6)),1)</f>
        <v>0</v>
      </c>
      <c r="AQ10" t="str">
        <f ca="1">IF(AE10="⭐ PICK","PICK at "&amp;AN10,"")</f>
        <v/>
      </c>
    </row>
    <row r="11" spans="1:52" x14ac:dyDescent="0.3">
      <c r="A11" t="s">
        <v>287</v>
      </c>
      <c r="B11" t="s">
        <v>315</v>
      </c>
      <c r="C11" t="s">
        <v>197</v>
      </c>
      <c r="D11" t="s">
        <v>136</v>
      </c>
      <c r="E11" t="s">
        <v>57</v>
      </c>
      <c r="G11" t="s">
        <v>45</v>
      </c>
      <c r="H11" t="s">
        <v>45</v>
      </c>
      <c r="I11" t="s">
        <v>45</v>
      </c>
      <c r="R11" t="s">
        <v>45</v>
      </c>
      <c r="S11">
        <v>8</v>
      </c>
      <c r="X11" t="str">
        <f>IF(S11="", "", IF(S11&gt;78,"Yes","No"))</f>
        <v>No</v>
      </c>
      <c r="Y11" t="s">
        <v>197</v>
      </c>
      <c r="Z11" t="s">
        <v>48</v>
      </c>
      <c r="AA11" t="s">
        <v>117</v>
      </c>
      <c r="AB11">
        <f>IF(Y11="Emission Nebula",90,IF(Y11="Reflection Nebula",75,IF(Y11="Planetary Nebula",60,IF(Y11="Galaxy",90,IF(Y11="Globular Cluster",30,IF(Y11="Open Cluster",20,IF(Y11="Comet",20,IF(Y11="Planet",10,IF(Y11="Star",5,45)))))))))</f>
        <v>75</v>
      </c>
      <c r="AC11" t="s">
        <v>48</v>
      </c>
      <c r="AD11">
        <f>MAX(1,MIN(10,ROUND((IF(S11="",5,IF(S11&lt;3,2,IF(S11&lt;10,4,IF(S11&lt;=70,8,IF(S11&lt;=100,6,4))))))+IF(Y11="Emission Nebula",2,IF(Y11="Open Cluster",2,IF(Y11="Globular Cluster",2,IF(Y11="Reflection Nebula",1,IF(Y11="Planetary Nebula",1,IF(Y11="Comet",1,0))))))+IF(Z11="High (easy)",2,IF(Z11="Medium",1,IF(Z11="Low (hard)",-1,0)))+IF(AA11="High (OK with Moon)",2,IF(AA11="Medium",0,IF(AA11="Low (needs dark)",-2,0)))+IF(AC11="High (best &gt;50°)",1,IF(AC11="Medium",0,IF(AC11="Low (OK)",-1,0))),0)))</f>
        <v>4</v>
      </c>
      <c r="AE11" t="str">
        <f ca="1">IF(AND(CHOOSE(MONTH(TODAY()),G11,H11,I11,J11,K11,L11,M11,N11,O11,P11,Q11,R11)="✔",AD11&gt;=7,AM11="Yes",AO11&gt;=50,OR(X11="No",X11=""),OR(E11="No",V11="Yes")),"⭐ PICK","")</f>
        <v/>
      </c>
      <c r="AI11">
        <v>18.05</v>
      </c>
      <c r="AJ11">
        <v>-24.387</v>
      </c>
      <c r="AK11" t="s">
        <v>12</v>
      </c>
      <c r="AL11" s="5">
        <f ca="1">IFERROR(MOD((AI11-(MOD(18.697374558+24.065709824419*(TODAY()-DATE(2000,1,1)+0.5)+$AZ$1/15,24)))/1.00273790935,24)/24,"")</f>
        <v>0.51504141144912829</v>
      </c>
      <c r="AM11" t="str">
        <f>IF(AO11&gt;=20,"Yes","No")</f>
        <v>No</v>
      </c>
      <c r="AN11" s="7" t="str">
        <f>IF(AM11="Yes",TEXT(AL11,"h:mm AM/PM"),"")</f>
        <v/>
      </c>
      <c r="AO11">
        <v>-35.799999999999997</v>
      </c>
      <c r="AP11">
        <f>ROUND(MAX(0,MIN(10,(AO11-20)/6)),1)</f>
        <v>0</v>
      </c>
      <c r="AQ11" t="str">
        <f ca="1">IF(AE11="⭐ PICK","PICK at "&amp;AN11,"")</f>
        <v/>
      </c>
    </row>
    <row r="12" spans="1:52" hidden="1" x14ac:dyDescent="0.3">
      <c r="A12" t="s">
        <v>40</v>
      </c>
      <c r="B12" t="s">
        <v>41</v>
      </c>
      <c r="C12" t="s">
        <v>42</v>
      </c>
      <c r="D12" t="s">
        <v>43</v>
      </c>
      <c r="E12" t="s">
        <v>44</v>
      </c>
      <c r="G12" t="s">
        <v>45</v>
      </c>
      <c r="H12" t="s">
        <v>45</v>
      </c>
      <c r="I12" t="s">
        <v>45</v>
      </c>
      <c r="S12">
        <v>60</v>
      </c>
      <c r="X12" t="str">
        <f>IF(S12="", "", IF(S12&gt;78,"Yes","No"))</f>
        <v>No</v>
      </c>
      <c r="Y12" t="s">
        <v>46</v>
      </c>
      <c r="Z12" t="s">
        <v>47</v>
      </c>
      <c r="AA12" t="s">
        <v>48</v>
      </c>
      <c r="AB12">
        <f>IF(Y12="Emission Nebula",90,IF(Y12="Reflection Nebula",75,IF(Y12="Planetary Nebula",60,IF(Y12="Galaxy",90,IF(Y12="Globular Cluster",30,IF(Y12="Open Cluster",20,IF(Y12="Comet",20,IF(Y12="Planet",10,IF(Y12="Star",5,45)))))))))</f>
        <v>90</v>
      </c>
      <c r="AC12" t="s">
        <v>49</v>
      </c>
      <c r="AD12">
        <f>MAX(1,MIN(10,ROUND((IF(S12="",5,IF(S12&lt;3,2,IF(S12&lt;10,4,IF(S12&lt;=70,8,IF(S12&lt;=100,6,4))))))+IF(Y12="Emission Nebula",2,IF(Y12="Open Cluster",2,IF(Y12="Globular Cluster",2,IF(Y12="Reflection Nebula",1,IF(Y12="Planetary Nebula",1,IF(Y12="Comet",1,0))))))+IF(Z12="High (easy)",2,IF(Z12="Medium",1,IF(Z12="Low (hard)",-1,0)))+IF(AA12="High (OK with Moon)",2,IF(AA12="Medium",0,IF(AA12="Low (needs dark)",-2,0)))+IF(AC12="High (best &gt;50°)",1,IF(AC12="Medium",0,IF(AC12="Low (OK)",-1,0))),0)))</f>
        <v>10</v>
      </c>
      <c r="AE12" t="str">
        <f ca="1">IF(AND(CHOOSE(MONTH(TODAY()),G12,H12,I12,J12,K12,L12,M12,N12,O12,P12,Q12,R12)="✔",AD12&gt;=7,OR(V12&lt;&gt;"No",V12=""),OR(X12="No",X12="")),"⭐ PICK","")</f>
        <v>⭐ PICK</v>
      </c>
      <c r="AI12">
        <v>16.95</v>
      </c>
      <c r="AJ12">
        <v>-4.0999999999999996</v>
      </c>
      <c r="AK12" t="s">
        <v>12</v>
      </c>
      <c r="AL12" t="s">
        <v>80</v>
      </c>
      <c r="AM12" t="s">
        <v>57</v>
      </c>
      <c r="AN12" t="s">
        <v>62</v>
      </c>
      <c r="AO12">
        <v>-14.8</v>
      </c>
    </row>
    <row r="13" spans="1:52" x14ac:dyDescent="0.3">
      <c r="A13" t="s">
        <v>287</v>
      </c>
      <c r="B13" t="s">
        <v>353</v>
      </c>
      <c r="C13" t="s">
        <v>354</v>
      </c>
      <c r="D13" t="s">
        <v>419</v>
      </c>
      <c r="E13" t="s">
        <v>57</v>
      </c>
      <c r="G13" t="s">
        <v>45</v>
      </c>
      <c r="H13" t="s">
        <v>45</v>
      </c>
      <c r="I13" t="s">
        <v>45</v>
      </c>
      <c r="T13">
        <v>120</v>
      </c>
      <c r="V13" t="s">
        <v>57</v>
      </c>
      <c r="W13">
        <v>3</v>
      </c>
      <c r="X13" t="str">
        <f>IF(S13="", "", IF(S13&gt;78,"Yes","No"))</f>
        <v/>
      </c>
      <c r="Y13" t="s">
        <v>396</v>
      </c>
      <c r="Z13" t="s">
        <v>388</v>
      </c>
      <c r="AA13" t="s">
        <v>389</v>
      </c>
      <c r="AB13">
        <v>120</v>
      </c>
      <c r="AD13">
        <v>4</v>
      </c>
      <c r="AE13" t="str">
        <f ca="1">IF(AND(CHOOSE(MONTH(TODAY()),G13,H13,I13,J13,K13,L13,M13,N13,O13,P13,Q13,R13)="✔",AD13&gt;=7,AM13="Yes",AO13&gt;=50,OR(X13="No",X13=""),OR(E13="No",V13="Yes")),"⭐ PICK","")</f>
        <v/>
      </c>
      <c r="AG13" t="s">
        <v>397</v>
      </c>
      <c r="AH13" t="s">
        <v>15</v>
      </c>
      <c r="AI13">
        <v>21.883299999999998</v>
      </c>
      <c r="AJ13" s="3">
        <v>47.267000000000003</v>
      </c>
      <c r="AK13" t="s">
        <v>15</v>
      </c>
      <c r="AL13" s="5">
        <f ca="1">IFERROR(MOD((AI13-(MOD(18.697374558+24.065709824419*(TODAY()-DATE(2000,1,1)+0.5)+$AZ$1/15,24)))/1.00273790935,24)/24,"")</f>
        <v>0.67432613764130778</v>
      </c>
      <c r="AM13" t="str">
        <f>IF(AO13&gt;=20,"Yes","No")</f>
        <v>Yes</v>
      </c>
      <c r="AN13" s="7" t="str">
        <f ca="1">IF(AM13="Yes",TEXT(AL13,"h:mm AM/PM"),"")</f>
        <v>4:11 PM</v>
      </c>
      <c r="AO13" s="3">
        <v>50</v>
      </c>
      <c r="AP13">
        <f>ROUND(MAX(0,MIN(10,(AO13-20)/6)),1)</f>
        <v>5</v>
      </c>
      <c r="AQ13" t="str">
        <f ca="1">IF(AE13="⭐ PICK","PICK at "&amp;AN13,"")</f>
        <v/>
      </c>
    </row>
    <row r="14" spans="1:52" hidden="1" x14ac:dyDescent="0.3">
      <c r="A14" t="s">
        <v>40</v>
      </c>
      <c r="B14" t="s">
        <v>225</v>
      </c>
      <c r="C14" t="s">
        <v>190</v>
      </c>
      <c r="D14" t="s">
        <v>158</v>
      </c>
      <c r="E14" t="s">
        <v>44</v>
      </c>
      <c r="J14" t="s">
        <v>45</v>
      </c>
      <c r="K14" t="s">
        <v>45</v>
      </c>
      <c r="L14" t="s">
        <v>45</v>
      </c>
      <c r="S14">
        <v>10</v>
      </c>
      <c r="X14" t="str">
        <f>IF(S14="", "", IF(S14&gt;78,"Yes","No"))</f>
        <v>No</v>
      </c>
      <c r="Y14" t="s">
        <v>116</v>
      </c>
      <c r="Z14" t="s">
        <v>48</v>
      </c>
      <c r="AA14" t="s">
        <v>117</v>
      </c>
      <c r="AB14">
        <f>IF(Y14="Emission Nebula",90,IF(Y14="Reflection Nebula",75,IF(Y14="Planetary Nebula",60,IF(Y14="Galaxy",90,IF(Y14="Globular Cluster",30,IF(Y14="Open Cluster",20,IF(Y14="Comet",20,IF(Y14="Planet",10,IF(Y14="Star",5,45)))))))))</f>
        <v>90</v>
      </c>
      <c r="AC14" t="s">
        <v>49</v>
      </c>
      <c r="AD14">
        <f>MAX(1,MIN(10,ROUND((IF(S14="",5,IF(S14&lt;3,2,IF(S14&lt;10,4,IF(S14&lt;=70,8,IF(S14&lt;=100,6,4))))))+IF(Y14="Emission Nebula",2,IF(Y14="Open Cluster",2,IF(Y14="Globular Cluster",2,IF(Y14="Reflection Nebula",1,IF(Y14="Planetary Nebula",1,IF(Y14="Comet",1,0))))))+IF(Z14="High (easy)",2,IF(Z14="Medium",1,IF(Z14="Low (hard)",-1,0)))+IF(AA14="High (OK with Moon)",2,IF(AA14="Medium",0,IF(AA14="Low (needs dark)",-2,0)))+IF(AC14="High (best &gt;50°)",1,IF(AC14="Medium",0,IF(AC14="Low (OK)",-1,0))),0)))</f>
        <v>8</v>
      </c>
      <c r="AE14" t="str">
        <f ca="1">IF(AND(CHOOSE(MONTH(TODAY()),G14,H14,I14,J14,K14,L14,M14,N14,O14,P14,Q14,R14)="✔",AD14&gt;=7,OR(V14&lt;&gt;"No",V14=""),OR(X14="No",X14="")),"⭐ PICK","")</f>
        <v/>
      </c>
      <c r="AI14">
        <v>16.783000000000001</v>
      </c>
      <c r="AJ14">
        <v>-1.9330000000000001</v>
      </c>
      <c r="AK14" t="s">
        <v>11</v>
      </c>
      <c r="AL14" t="s">
        <v>83</v>
      </c>
      <c r="AM14" t="s">
        <v>57</v>
      </c>
      <c r="AN14" t="s">
        <v>62</v>
      </c>
      <c r="AO14">
        <v>-11.5</v>
      </c>
    </row>
    <row r="15" spans="1:52" hidden="1" x14ac:dyDescent="0.3">
      <c r="A15" t="s">
        <v>40</v>
      </c>
      <c r="B15" t="s">
        <v>226</v>
      </c>
      <c r="C15" t="s">
        <v>227</v>
      </c>
      <c r="D15" t="s">
        <v>158</v>
      </c>
      <c r="E15" t="s">
        <v>44</v>
      </c>
      <c r="J15" t="s">
        <v>45</v>
      </c>
      <c r="K15" t="s">
        <v>45</v>
      </c>
      <c r="L15" t="s">
        <v>45</v>
      </c>
      <c r="S15">
        <v>10</v>
      </c>
      <c r="X15" t="str">
        <f>IF(S15="", "", IF(S15&gt;78,"Yes","No"))</f>
        <v>No</v>
      </c>
      <c r="Y15" t="s">
        <v>116</v>
      </c>
      <c r="Z15" t="s">
        <v>48</v>
      </c>
      <c r="AA15" t="s">
        <v>117</v>
      </c>
      <c r="AB15">
        <f>IF(Y15="Emission Nebula",90,IF(Y15="Reflection Nebula",75,IF(Y15="Planetary Nebula",60,IF(Y15="Galaxy",90,IF(Y15="Globular Cluster",30,IF(Y15="Open Cluster",20,IF(Y15="Comet",20,IF(Y15="Planet",10,IF(Y15="Star",5,45)))))))))</f>
        <v>90</v>
      </c>
      <c r="AC15" t="s">
        <v>49</v>
      </c>
      <c r="AD15">
        <f>MAX(1,MIN(10,ROUND((IF(S15="",5,IF(S15&lt;3,2,IF(S15&lt;10,4,IF(S15&lt;=70,8,IF(S15&lt;=100,6,4))))))+IF(Y15="Emission Nebula",2,IF(Y15="Open Cluster",2,IF(Y15="Globular Cluster",2,IF(Y15="Reflection Nebula",1,IF(Y15="Planetary Nebula",1,IF(Y15="Comet",1,0))))))+IF(Z15="High (easy)",2,IF(Z15="Medium",1,IF(Z15="Low (hard)",-1,0)))+IF(AA15="High (OK with Moon)",2,IF(AA15="Medium",0,IF(AA15="Low (needs dark)",-2,0)))+IF(AC15="High (best &gt;50°)",1,IF(AC15="Medium",0,IF(AC15="Low (OK)",-1,0))),0)))</f>
        <v>8</v>
      </c>
      <c r="AE15" t="str">
        <f ca="1">IF(AND(CHOOSE(MONTH(TODAY()),G15,H15,I15,J15,K15,L15,M15,N15,O15,P15,Q15,R15)="✔",AD15&gt;=7,OR(V15&lt;&gt;"No",V15=""),OR(X15="No",X15="")),"⭐ PICK","")</f>
        <v/>
      </c>
      <c r="AI15">
        <v>16.683</v>
      </c>
      <c r="AJ15">
        <v>36.450000000000003</v>
      </c>
      <c r="AK15" t="s">
        <v>11</v>
      </c>
      <c r="AL15" t="s">
        <v>87</v>
      </c>
      <c r="AM15" t="s">
        <v>57</v>
      </c>
      <c r="AN15" t="s">
        <v>62</v>
      </c>
      <c r="AO15">
        <v>11.2</v>
      </c>
    </row>
    <row r="16" spans="1:52" hidden="1" x14ac:dyDescent="0.3">
      <c r="A16" t="s">
        <v>40</v>
      </c>
      <c r="B16" t="s">
        <v>228</v>
      </c>
      <c r="C16" t="s">
        <v>229</v>
      </c>
      <c r="D16" t="s">
        <v>158</v>
      </c>
      <c r="E16" t="s">
        <v>44</v>
      </c>
      <c r="J16" t="s">
        <v>45</v>
      </c>
      <c r="K16" t="s">
        <v>45</v>
      </c>
      <c r="L16" t="s">
        <v>45</v>
      </c>
      <c r="S16">
        <v>10</v>
      </c>
      <c r="X16" t="str">
        <f>IF(S16="", "", IF(S16&gt;78,"Yes","No"))</f>
        <v>No</v>
      </c>
      <c r="Y16" t="s">
        <v>116</v>
      </c>
      <c r="Z16" t="s">
        <v>48</v>
      </c>
      <c r="AA16" t="s">
        <v>117</v>
      </c>
      <c r="AB16">
        <f>IF(Y16="Emission Nebula",90,IF(Y16="Reflection Nebula",75,IF(Y16="Planetary Nebula",60,IF(Y16="Galaxy",90,IF(Y16="Globular Cluster",30,IF(Y16="Open Cluster",20,IF(Y16="Comet",20,IF(Y16="Planet",10,IF(Y16="Star",5,45)))))))))</f>
        <v>90</v>
      </c>
      <c r="AC16" t="s">
        <v>49</v>
      </c>
      <c r="AD16">
        <f>MAX(1,MIN(10,ROUND((IF(S16="",5,IF(S16&lt;3,2,IF(S16&lt;10,4,IF(S16&lt;=70,8,IF(S16&lt;=100,6,4))))))+IF(Y16="Emission Nebula",2,IF(Y16="Open Cluster",2,IF(Y16="Globular Cluster",2,IF(Y16="Reflection Nebula",1,IF(Y16="Planetary Nebula",1,IF(Y16="Comet",1,0))))))+IF(Z16="High (easy)",2,IF(Z16="Medium",1,IF(Z16="Low (hard)",-1,0)))+IF(AA16="High (OK with Moon)",2,IF(AA16="Medium",0,IF(AA16="Low (needs dark)",-2,0)))+IF(AC16="High (best &gt;50°)",1,IF(AC16="Medium",0,IF(AC16="Low (OK)",-1,0))),0)))</f>
        <v>8</v>
      </c>
      <c r="AE16" t="str">
        <f ca="1">IF(AND(CHOOSE(MONTH(TODAY()),G16,H16,I16,J16,K16,L16,M16,N16,O16,P16,Q16,R16)="✔",AD16&gt;=7,OR(V16&lt;&gt;"No",V16=""),OR(X16="No",X16="")),"⭐ PICK","")</f>
        <v/>
      </c>
      <c r="AI16">
        <v>17.617000000000001</v>
      </c>
      <c r="AJ16">
        <v>-3.2330000000000001</v>
      </c>
      <c r="AK16" t="s">
        <v>12</v>
      </c>
      <c r="AL16" t="s">
        <v>61</v>
      </c>
      <c r="AM16" t="s">
        <v>57</v>
      </c>
      <c r="AN16" t="s">
        <v>62</v>
      </c>
      <c r="AO16">
        <v>-22.6</v>
      </c>
    </row>
    <row r="17" spans="1:43" x14ac:dyDescent="0.3">
      <c r="A17" t="s">
        <v>287</v>
      </c>
      <c r="B17" t="s">
        <v>292</v>
      </c>
      <c r="C17" t="s">
        <v>293</v>
      </c>
      <c r="D17" t="s">
        <v>115</v>
      </c>
      <c r="E17" t="s">
        <v>57</v>
      </c>
      <c r="N17" t="s">
        <v>45</v>
      </c>
      <c r="O17" t="s">
        <v>45</v>
      </c>
      <c r="P17" t="s">
        <v>45</v>
      </c>
      <c r="Q17" t="s">
        <v>45</v>
      </c>
      <c r="S17">
        <v>2</v>
      </c>
      <c r="X17" t="str">
        <f>IF(S17="", "", IF(S17&gt;78,"Yes","No"))</f>
        <v>No</v>
      </c>
      <c r="Y17" t="s">
        <v>116</v>
      </c>
      <c r="AB17">
        <f>IF(Y17="Emission Nebula",90,IF(Y17="Reflection Nebula",75,IF(Y17="Planetary Nebula",60,IF(Y17="Galaxy",90,IF(Y17="Globular Cluster",30,IF(Y17="Open Cluster",20,IF(Y17="Comet",20,IF(Y17="Planet",10,IF(Y17="Star",5,45)))))))))</f>
        <v>90</v>
      </c>
      <c r="AD17">
        <f>MAX(1,MIN(10,ROUND((IF(S17="",5,IF(S17&lt;3,2,IF(S17&lt;10,4,IF(S17&lt;=70,8,IF(S17&lt;=100,6,4))))))+IF(Y17="Emission Nebula",2,IF(Y17="Open Cluster",2,IF(Y17="Globular Cluster",2,IF(Y17="Reflection Nebula",1,IF(Y17="Planetary Nebula",1,IF(Y17="Comet",1,0))))))+IF(Z17="High (easy)",2,IF(Z17="Medium",1,IF(Z17="Low (hard)",-1,0)))+IF(AA17="High (OK with Moon)",2,IF(AA17="Medium",0,IF(AA17="Low (needs dark)",-2,0)))+IF(AC17="High (best &gt;50°)",1,IF(AC17="Medium",0,IF(AC17="Low (OK)",-1,0))),0)))</f>
        <v>2</v>
      </c>
      <c r="AE17" t="str">
        <f ca="1">IF(AND(CHOOSE(MONTH(TODAY()),G17,H17,I17,J17,K17,L17,M17,N17,O17,P17,Q17,R17)="✔",AD17&gt;=7,AM17="Yes",AO17&gt;=50,OR(X17="No",X17=""),OR(E17="No",V17="Yes")),"⭐ PICK","")</f>
        <v/>
      </c>
      <c r="AI17">
        <v>17.317</v>
      </c>
      <c r="AJ17">
        <v>-18.5</v>
      </c>
      <c r="AK17" t="s">
        <v>12</v>
      </c>
      <c r="AL17" s="5">
        <f ca="1">IFERROR(MOD((AI17-(MOD(18.697374558+24.065709824419*(TODAY()-DATE(2000,1,1)+0.5)+$AZ$1/15,24)))/1.00273790935,24)/24,"")</f>
        <v>0.48458313677747</v>
      </c>
      <c r="AM17" t="str">
        <f>IF(AO17&gt;=20,"Yes","No")</f>
        <v>No</v>
      </c>
      <c r="AN17" s="7" t="str">
        <f>IF(AM17="Yes",TEXT(AL17,"h:mm AM/PM"),"")</f>
        <v/>
      </c>
      <c r="AO17">
        <v>-26.9</v>
      </c>
      <c r="AP17">
        <f>ROUND(MAX(0,MIN(10,(AO17-20)/6)),1)</f>
        <v>0</v>
      </c>
      <c r="AQ17" t="str">
        <f ca="1">IF(AE17="⭐ PICK","PICK at "&amp;AN17,"")</f>
        <v/>
      </c>
    </row>
    <row r="18" spans="1:43" x14ac:dyDescent="0.3">
      <c r="A18" t="s">
        <v>40</v>
      </c>
      <c r="B18" t="s">
        <v>79</v>
      </c>
      <c r="C18" t="s">
        <v>54</v>
      </c>
      <c r="D18" t="s">
        <v>60</v>
      </c>
      <c r="E18" t="s">
        <v>57</v>
      </c>
      <c r="K18" t="s">
        <v>45</v>
      </c>
      <c r="L18" t="s">
        <v>45</v>
      </c>
      <c r="M18" t="s">
        <v>45</v>
      </c>
      <c r="S18">
        <v>10</v>
      </c>
      <c r="X18" t="str">
        <f>IF(S18="", "", IF(S18&gt;78,"Yes","No"))</f>
        <v>No</v>
      </c>
      <c r="Y18" t="s">
        <v>54</v>
      </c>
      <c r="Z18" t="s">
        <v>47</v>
      </c>
      <c r="AA18" t="s">
        <v>56</v>
      </c>
      <c r="AB18">
        <f>IF(Y18="Emission Nebula",90,IF(Y18="Reflection Nebula",75,IF(Y18="Planetary Nebula",60,IF(Y18="Galaxy",90,IF(Y18="Globular Cluster",30,IF(Y18="Open Cluster",20,IF(Y18="Comet",20,IF(Y18="Planet",10,IF(Y18="Star",5,45)))))))))</f>
        <v>30</v>
      </c>
      <c r="AC18" t="s">
        <v>48</v>
      </c>
      <c r="AD18">
        <f>MAX(1,MIN(10,ROUND((IF(S18="",5,IF(S18&lt;3,2,IF(S18&lt;10,4,IF(S18&lt;=70,8,IF(S18&lt;=100,6,4))))))+IF(Y18="Emission Nebula",2,IF(Y18="Open Cluster",2,IF(Y18="Globular Cluster",2,IF(Y18="Reflection Nebula",1,IF(Y18="Planetary Nebula",1,IF(Y18="Comet",1,0))))))+IF(Z18="High (easy)",2,IF(Z18="Medium",1,IF(Z18="Low (hard)",-1,0)))+IF(AA18="High (OK with Moon)",2,IF(AA18="Medium",0,IF(AA18="Low (needs dark)",-2,0)))+IF(AC18="High (best &gt;50°)",1,IF(AC18="Medium",0,IF(AC18="Low (OK)",-1,0))),0)))</f>
        <v>10</v>
      </c>
      <c r="AE18" t="str">
        <f ca="1">IF(AND(CHOOSE(MONTH(TODAY()),G18,H18,I18,J18,K18,L18,M18,N18,O18,P18,Q18,R18)="✔",AD18&gt;=7,AM18="Yes",AO18&gt;=50,OR(X18="No",X18=""),OR(E18="No",V18="Yes")),"⭐ PICK","")</f>
        <v/>
      </c>
      <c r="AI18">
        <v>18.850000000000001</v>
      </c>
      <c r="AJ18">
        <v>-6.27</v>
      </c>
      <c r="AK18" t="s">
        <v>12</v>
      </c>
      <c r="AL18" s="5">
        <f ca="1">IFERROR(MOD((AI18-(MOD(18.697374558+24.065709824419*(TODAY()-DATE(2000,1,1)+0.5)+$AZ$1/15,24)))/1.00273790935,24)/24,"")</f>
        <v>0.54828373032679079</v>
      </c>
      <c r="AM18" t="str">
        <f>IF(AO18&gt;=20,"Yes","No")</f>
        <v>No</v>
      </c>
      <c r="AN18" s="7" t="str">
        <f>IF(AM18="Yes",TEXT(AL18,"h:mm AM/PM"),"")</f>
        <v/>
      </c>
      <c r="AO18">
        <v>-16.899999999999999</v>
      </c>
      <c r="AP18">
        <f>ROUND(MAX(0,MIN(10,(AO18-20)/6)),1)</f>
        <v>0</v>
      </c>
      <c r="AQ18" t="str">
        <f ca="1">IF(AE18="⭐ PICK","PICK at "&amp;AN18,"")</f>
        <v/>
      </c>
    </row>
    <row r="19" spans="1:43" hidden="1" x14ac:dyDescent="0.3">
      <c r="A19" t="s">
        <v>40</v>
      </c>
      <c r="B19" t="s">
        <v>233</v>
      </c>
      <c r="C19" t="s">
        <v>234</v>
      </c>
      <c r="D19" t="s">
        <v>202</v>
      </c>
      <c r="E19" t="s">
        <v>44</v>
      </c>
      <c r="I19" t="s">
        <v>45</v>
      </c>
      <c r="J19" t="s">
        <v>45</v>
      </c>
      <c r="K19" t="s">
        <v>45</v>
      </c>
      <c r="S19">
        <v>10</v>
      </c>
      <c r="X19" t="str">
        <f>IF(S19="", "", IF(S19&gt;78,"Yes","No"))</f>
        <v>No</v>
      </c>
      <c r="Y19" t="s">
        <v>116</v>
      </c>
      <c r="Z19" t="s">
        <v>48</v>
      </c>
      <c r="AA19" t="s">
        <v>117</v>
      </c>
      <c r="AB19">
        <f>IF(Y19="Emission Nebula",90,IF(Y19="Reflection Nebula",75,IF(Y19="Planetary Nebula",60,IF(Y19="Galaxy",90,IF(Y19="Globular Cluster",30,IF(Y19="Open Cluster",20,IF(Y19="Comet",20,IF(Y19="Planet",10,IF(Y19="Star",5,45)))))))))</f>
        <v>90</v>
      </c>
      <c r="AC19" t="s">
        <v>49</v>
      </c>
      <c r="AD19">
        <f>MAX(1,MIN(10,ROUND((IF(S19="",5,IF(S19&lt;3,2,IF(S19&lt;10,4,IF(S19&lt;=70,8,IF(S19&lt;=100,6,4))))))+IF(Y19="Emission Nebula",2,IF(Y19="Open Cluster",2,IF(Y19="Globular Cluster",2,IF(Y19="Reflection Nebula",1,IF(Y19="Planetary Nebula",1,IF(Y19="Comet",1,0))))))+IF(Z19="High (easy)",2,IF(Z19="Medium",1,IF(Z19="Low (hard)",-1,0)))+IF(AA19="High (OK with Moon)",2,IF(AA19="Medium",0,IF(AA19="Low (needs dark)",-2,0)))+IF(AC19="High (best &gt;50°)",1,IF(AC19="Medium",0,IF(AC19="Low (OK)",-1,0))),0)))</f>
        <v>8</v>
      </c>
      <c r="AE19" t="str">
        <f ca="1">IF(AND(CHOOSE(MONTH(TODAY()),G19,H19,I19,J19,K19,L19,M19,N19,O19,P19,Q19,R19)="✔",AD19&gt;=7,OR(V19&lt;&gt;"No",V19=""),OR(X19="No",X19="")),"⭐ PICK","")</f>
        <v>⭐ PICK</v>
      </c>
      <c r="AI19">
        <v>18.332999999999998</v>
      </c>
      <c r="AJ19">
        <v>-16.172000000000001</v>
      </c>
      <c r="AK19" t="s">
        <v>12</v>
      </c>
      <c r="AL19" t="s">
        <v>64</v>
      </c>
      <c r="AM19" t="s">
        <v>57</v>
      </c>
      <c r="AN19" t="s">
        <v>58</v>
      </c>
      <c r="AO19">
        <v>-28.6</v>
      </c>
    </row>
    <row r="20" spans="1:43" hidden="1" x14ac:dyDescent="0.3">
      <c r="A20" t="s">
        <v>40</v>
      </c>
      <c r="B20" t="s">
        <v>235</v>
      </c>
      <c r="C20" t="s">
        <v>190</v>
      </c>
      <c r="D20" t="s">
        <v>202</v>
      </c>
      <c r="E20" t="s">
        <v>44</v>
      </c>
      <c r="I20" t="s">
        <v>45</v>
      </c>
      <c r="J20" t="s">
        <v>45</v>
      </c>
      <c r="K20" t="s">
        <v>45</v>
      </c>
      <c r="S20">
        <v>10</v>
      </c>
      <c r="X20" t="str">
        <f>IF(S20="", "", IF(S20&gt;78,"Yes","No"))</f>
        <v>No</v>
      </c>
      <c r="Y20" t="s">
        <v>116</v>
      </c>
      <c r="Z20" t="s">
        <v>48</v>
      </c>
      <c r="AA20" t="s">
        <v>117</v>
      </c>
      <c r="AB20">
        <f>IF(Y20="Emission Nebula",90,IF(Y20="Reflection Nebula",75,IF(Y20="Planetary Nebula",60,IF(Y20="Galaxy",90,IF(Y20="Globular Cluster",30,IF(Y20="Open Cluster",20,IF(Y20="Comet",20,IF(Y20="Planet",10,IF(Y20="Star",5,45)))))))))</f>
        <v>90</v>
      </c>
      <c r="AC20" t="s">
        <v>49</v>
      </c>
      <c r="AD20">
        <f>MAX(1,MIN(10,ROUND((IF(S20="",5,IF(S20&lt;3,2,IF(S20&lt;10,4,IF(S20&lt;=70,8,IF(S20&lt;=100,6,4))))))+IF(Y20="Emission Nebula",2,IF(Y20="Open Cluster",2,IF(Y20="Globular Cluster",2,IF(Y20="Reflection Nebula",1,IF(Y20="Planetary Nebula",1,IF(Y20="Comet",1,0))))))+IF(Z20="High (easy)",2,IF(Z20="Medium",1,IF(Z20="Low (hard)",-1,0)))+IF(AA20="High (OK with Moon)",2,IF(AA20="Medium",0,IF(AA20="Low (needs dark)",-2,0)))+IF(AC20="High (best &gt;50°)",1,IF(AC20="Medium",0,IF(AC20="Low (OK)",-1,0))),0)))</f>
        <v>8</v>
      </c>
      <c r="AE20" t="str">
        <f ca="1">IF(AND(CHOOSE(MONTH(TODAY()),G20,H20,I20,J20,K20,L20,M20,N20,O20,P20,Q20,R20)="✔",AD20&gt;=7,OR(V20&lt;&gt;"No",V20=""),OR(X20="No",X20="")),"⭐ PICK","")</f>
        <v>⭐ PICK</v>
      </c>
      <c r="AI20">
        <v>18.317</v>
      </c>
      <c r="AJ20">
        <v>-17.102</v>
      </c>
      <c r="AK20" t="s">
        <v>12</v>
      </c>
      <c r="AL20" t="s">
        <v>64</v>
      </c>
      <c r="AM20" t="s">
        <v>57</v>
      </c>
      <c r="AN20" t="s">
        <v>58</v>
      </c>
      <c r="AO20">
        <v>-29.2</v>
      </c>
    </row>
    <row r="21" spans="1:43" x14ac:dyDescent="0.3">
      <c r="A21" t="s">
        <v>40</v>
      </c>
      <c r="B21" t="s">
        <v>226</v>
      </c>
      <c r="C21" t="s">
        <v>227</v>
      </c>
      <c r="D21" t="s">
        <v>421</v>
      </c>
      <c r="H21" t="s">
        <v>45</v>
      </c>
      <c r="I21" t="s">
        <v>45</v>
      </c>
      <c r="J21" t="s">
        <v>45</v>
      </c>
      <c r="O21">
        <v>28</v>
      </c>
      <c r="P21">
        <v>120</v>
      </c>
      <c r="Q21" t="s">
        <v>414</v>
      </c>
      <c r="S21" t="s">
        <v>417</v>
      </c>
      <c r="T21" t="s">
        <v>190</v>
      </c>
      <c r="U21" t="s">
        <v>420</v>
      </c>
      <c r="V21" t="s">
        <v>389</v>
      </c>
      <c r="W21">
        <v>180</v>
      </c>
      <c r="X21" t="s">
        <v>48</v>
      </c>
      <c r="Y21">
        <v>7</v>
      </c>
      <c r="AC21">
        <v>14.05</v>
      </c>
      <c r="AD21">
        <v>54.35</v>
      </c>
      <c r="AE21" t="str">
        <f ca="1">IF(AND(CHOOSE(MONTH(TODAY()),G21,H21,I21,J21,K21,L21,M21,N21,O21,P21,Q21,R21)="✔",AD21&gt;=7,AM21="Yes",AO21&gt;=50,OR(X21="No",X21=""),OR(E21="No",V21="Yes")),"⭐ PICK","")</f>
        <v/>
      </c>
      <c r="AL21" s="5">
        <f ca="1">IFERROR(MOD((AI21-(MOD(18.697374558+24.065709824419*(TODAY()-DATE(2000,1,1)+0.5)+$AZ$1/15,24)))/1.00273790935,24)/24,"")</f>
        <v>0.76501159177186817</v>
      </c>
      <c r="AM21" t="str">
        <f>IF(AO21&gt;=20,"Yes","No")</f>
        <v>No</v>
      </c>
      <c r="AN21" s="7" t="str">
        <f>IF(AM21="Yes",TEXT(AL21,"h:mm AM/PM"),"")</f>
        <v/>
      </c>
      <c r="AP21">
        <f>ROUND(MAX(0,MIN(10,(AO21-20)/6)),1)</f>
        <v>0</v>
      </c>
      <c r="AQ21" t="str">
        <f ca="1">IF(AE21="⭐ PICK","PICK at "&amp;AN21,"")</f>
        <v/>
      </c>
    </row>
    <row r="22" spans="1:43" hidden="1" x14ac:dyDescent="0.3">
      <c r="A22" t="s">
        <v>40</v>
      </c>
      <c r="B22" t="s">
        <v>237</v>
      </c>
      <c r="C22" t="s">
        <v>190</v>
      </c>
      <c r="D22" t="s">
        <v>202</v>
      </c>
      <c r="E22" t="s">
        <v>44</v>
      </c>
      <c r="I22" t="s">
        <v>45</v>
      </c>
      <c r="J22" t="s">
        <v>45</v>
      </c>
      <c r="K22" t="s">
        <v>45</v>
      </c>
      <c r="S22">
        <v>10</v>
      </c>
      <c r="X22" t="str">
        <f>IF(S22="", "", IF(S22&gt;78,"Yes","No"))</f>
        <v>No</v>
      </c>
      <c r="Y22" t="s">
        <v>116</v>
      </c>
      <c r="Z22" t="s">
        <v>48</v>
      </c>
      <c r="AA22" t="s">
        <v>117</v>
      </c>
      <c r="AB22">
        <f>IF(Y22="Emission Nebula",90,IF(Y22="Reflection Nebula",75,IF(Y22="Planetary Nebula",60,IF(Y22="Galaxy",90,IF(Y22="Globular Cluster",30,IF(Y22="Open Cluster",20,IF(Y22="Comet",20,IF(Y22="Planet",10,IF(Y22="Star",5,45)))))))))</f>
        <v>90</v>
      </c>
      <c r="AC22" t="s">
        <v>49</v>
      </c>
      <c r="AD22">
        <f>MAX(1,MIN(10,ROUND((IF(S22="",5,IF(S22&lt;3,2,IF(S22&lt;10,4,IF(S22&lt;=70,8,IF(S22&lt;=100,6,4))))))+IF(Y22="Emission Nebula",2,IF(Y22="Open Cluster",2,IF(Y22="Globular Cluster",2,IF(Y22="Reflection Nebula",1,IF(Y22="Planetary Nebula",1,IF(Y22="Comet",1,0))))))+IF(Z22="High (easy)",2,IF(Z22="Medium",1,IF(Z22="Low (hard)",-1,0)))+IF(AA22="High (OK with Moon)",2,IF(AA22="Medium",0,IF(AA22="Low (needs dark)",-2,0)))+IF(AC22="High (best &gt;50°)",1,IF(AC22="Medium",0,IF(AC22="Low (OK)",-1,0))),0)))</f>
        <v>8</v>
      </c>
      <c r="AE22" t="str">
        <f ca="1">IF(AND(CHOOSE(MONTH(TODAY()),G22,H22,I22,J22,K22,L22,M22,N22,O22,P22,Q22,R22)="✔",AD22&gt;=7,OR(V22&lt;&gt;"No",V22=""),OR(X22="No",X22="")),"⭐ PICK","")</f>
        <v>⭐ PICK</v>
      </c>
      <c r="AI22">
        <v>18.033000000000001</v>
      </c>
      <c r="AJ22">
        <v>-22.972000000000001</v>
      </c>
      <c r="AK22" t="s">
        <v>12</v>
      </c>
      <c r="AL22" t="s">
        <v>77</v>
      </c>
      <c r="AM22" t="s">
        <v>57</v>
      </c>
      <c r="AN22" t="s">
        <v>58</v>
      </c>
      <c r="AO22">
        <v>-35.4</v>
      </c>
    </row>
    <row r="23" spans="1:43" hidden="1" x14ac:dyDescent="0.3">
      <c r="A23" t="s">
        <v>40</v>
      </c>
      <c r="B23" t="s">
        <v>238</v>
      </c>
      <c r="C23" t="s">
        <v>190</v>
      </c>
      <c r="D23" t="s">
        <v>202</v>
      </c>
      <c r="E23" t="s">
        <v>44</v>
      </c>
      <c r="I23" t="s">
        <v>45</v>
      </c>
      <c r="J23" t="s">
        <v>45</v>
      </c>
      <c r="K23" t="s">
        <v>45</v>
      </c>
      <c r="S23">
        <v>10</v>
      </c>
      <c r="X23" t="str">
        <f>IF(S23="", "", IF(S23&gt;78,"Yes","No"))</f>
        <v>No</v>
      </c>
      <c r="Y23" t="s">
        <v>116</v>
      </c>
      <c r="Z23" t="s">
        <v>48</v>
      </c>
      <c r="AA23" t="s">
        <v>117</v>
      </c>
      <c r="AB23">
        <f>IF(Y23="Emission Nebula",90,IF(Y23="Reflection Nebula",75,IF(Y23="Planetary Nebula",60,IF(Y23="Galaxy",90,IF(Y23="Globular Cluster",30,IF(Y23="Open Cluster",20,IF(Y23="Comet",20,IF(Y23="Planet",10,IF(Y23="Star",5,45)))))))))</f>
        <v>90</v>
      </c>
      <c r="AC23" t="s">
        <v>49</v>
      </c>
      <c r="AD23">
        <f>MAX(1,MIN(10,ROUND((IF(S23="",5,IF(S23&lt;3,2,IF(S23&lt;10,4,IF(S23&lt;=70,8,IF(S23&lt;=100,6,4))))))+IF(Y23="Emission Nebula",2,IF(Y23="Open Cluster",2,IF(Y23="Globular Cluster",2,IF(Y23="Reflection Nebula",1,IF(Y23="Planetary Nebula",1,IF(Y23="Comet",1,0))))))+IF(Z23="High (easy)",2,IF(Z23="Medium",1,IF(Z23="Low (hard)",-1,0)))+IF(AA23="High (OK with Moon)",2,IF(AA23="Medium",0,IF(AA23="Low (needs dark)",-2,0)))+IF(AC23="High (best &gt;50°)",1,IF(AC23="Medium",0,IF(AC23="Low (OK)",-1,0))),0)))</f>
        <v>8</v>
      </c>
      <c r="AE23" t="str">
        <f ca="1">IF(AND(CHOOSE(MONTH(TODAY()),G23,H23,I23,J23,K23,L23,M23,N23,O23,P23,Q23,R23)="✔",AD23&gt;=7,OR(V23&lt;&gt;"No",V23=""),OR(X23="No",X23="")),"⭐ PICK","")</f>
        <v>⭐ PICK</v>
      </c>
      <c r="AI23">
        <v>18.067</v>
      </c>
      <c r="AJ23">
        <v>-22.49</v>
      </c>
      <c r="AK23" t="s">
        <v>12</v>
      </c>
      <c r="AL23" t="s">
        <v>77</v>
      </c>
      <c r="AM23" t="s">
        <v>57</v>
      </c>
      <c r="AN23" t="s">
        <v>58</v>
      </c>
      <c r="AO23">
        <v>-34.799999999999997</v>
      </c>
    </row>
    <row r="24" spans="1:43" hidden="1" x14ac:dyDescent="0.3">
      <c r="A24" t="s">
        <v>40</v>
      </c>
      <c r="B24" t="s">
        <v>81</v>
      </c>
      <c r="C24" t="s">
        <v>82</v>
      </c>
      <c r="D24" t="s">
        <v>76</v>
      </c>
      <c r="E24" t="s">
        <v>44</v>
      </c>
      <c r="L24" t="s">
        <v>45</v>
      </c>
      <c r="M24" t="s">
        <v>45</v>
      </c>
      <c r="N24" t="s">
        <v>45</v>
      </c>
      <c r="S24">
        <v>20</v>
      </c>
      <c r="X24" t="str">
        <f>IF(S24="", "", IF(S24&gt;78,"Yes","No"))</f>
        <v>No</v>
      </c>
      <c r="Y24" t="s">
        <v>70</v>
      </c>
      <c r="Z24" t="s">
        <v>47</v>
      </c>
      <c r="AA24" t="s">
        <v>56</v>
      </c>
      <c r="AB24">
        <f>IF(Y24="Emission Nebula",90,IF(Y24="Reflection Nebula",75,IF(Y24="Planetary Nebula",60,IF(Y24="Galaxy",90,IF(Y24="Globular Cluster",30,IF(Y24="Open Cluster",20,IF(Y24="Comet",20,IF(Y24="Planet",10,IF(Y24="Star",5,45)))))))))</f>
        <v>20</v>
      </c>
      <c r="AC24" t="s">
        <v>71</v>
      </c>
      <c r="AD24">
        <f>MAX(1,MIN(10,ROUND((IF(S24="",5,IF(S24&lt;3,2,IF(S24&lt;10,4,IF(S24&lt;=70,8,IF(S24&lt;=100,6,4))))))+IF(Y24="Emission Nebula",2,IF(Y24="Open Cluster",2,IF(Y24="Globular Cluster",2,IF(Y24="Reflection Nebula",1,IF(Y24="Planetary Nebula",1,IF(Y24="Comet",1,0))))))+IF(Z24="High (easy)",2,IF(Z24="Medium",1,IF(Z24="Low (hard)",-1,0)))+IF(AA24="High (OK with Moon)",2,IF(AA24="Medium",0,IF(AA24="Low (needs dark)",-2,0)))+IF(AC24="High (best &gt;50°)",1,IF(AC24="Medium",0,IF(AC24="Low (OK)",-1,0))),0)))</f>
        <v>10</v>
      </c>
      <c r="AE24" t="str">
        <f ca="1">IF(AND(CHOOSE(MONTH(TODAY()),G24,H24,I24,J24,K24,L24,M24,N24,O24,P24,Q24,R24)="✔",AD24&gt;=7,OR(V24&lt;&gt;"No",V24=""),OR(X24="No",X24="")),"⭐ PICK","")</f>
        <v/>
      </c>
      <c r="AI24">
        <v>18.600000000000001</v>
      </c>
      <c r="AJ24">
        <v>-23.9</v>
      </c>
      <c r="AK24" t="s">
        <v>12</v>
      </c>
      <c r="AL24" t="s">
        <v>87</v>
      </c>
      <c r="AM24" t="s">
        <v>57</v>
      </c>
      <c r="AN24" t="s">
        <v>58</v>
      </c>
      <c r="AO24">
        <v>-28.8</v>
      </c>
    </row>
    <row r="25" spans="1:43" hidden="1" x14ac:dyDescent="0.3">
      <c r="A25" t="s">
        <v>40</v>
      </c>
      <c r="B25" t="s">
        <v>239</v>
      </c>
      <c r="C25" t="s">
        <v>119</v>
      </c>
      <c r="D25" t="s">
        <v>115</v>
      </c>
      <c r="E25" t="s">
        <v>44</v>
      </c>
      <c r="N25" t="s">
        <v>45</v>
      </c>
      <c r="O25" t="s">
        <v>45</v>
      </c>
      <c r="P25" t="s">
        <v>45</v>
      </c>
      <c r="Q25" t="s">
        <v>45</v>
      </c>
      <c r="X25" t="str">
        <f>IF(S25="", "", IF(S25&gt;78,"Yes","No"))</f>
        <v/>
      </c>
      <c r="AB25">
        <f>IF(Y25="Emission Nebula",90,IF(Y25="Reflection Nebula",75,IF(Y25="Planetary Nebula",60,IF(Y25="Galaxy",90,IF(Y25="Globular Cluster",30,IF(Y25="Open Cluster",20,IF(Y25="Comet",20,IF(Y25="Planet",10,IF(Y25="Star",5,45)))))))))</f>
        <v>45</v>
      </c>
      <c r="AD25">
        <f>MAX(1,MIN(10,ROUND((IF(S25="",5,IF(S25&lt;3,2,IF(S25&lt;10,4,IF(S25&lt;=70,8,IF(S25&lt;=100,6,4))))))+IF(Y25="Emission Nebula",2,IF(Y25="Open Cluster",2,IF(Y25="Globular Cluster",2,IF(Y25="Reflection Nebula",1,IF(Y25="Planetary Nebula",1,IF(Y25="Comet",1,0))))))+IF(Z25="High (easy)",2,IF(Z25="Medium",1,IF(Z25="Low (hard)",-1,0)))+IF(AA25="High (OK with Moon)",2,IF(AA25="Medium",0,IF(AA25="Low (needs dark)",-2,0)))+IF(AC25="High (best &gt;50°)",1,IF(AC25="Medium",0,IF(AC25="Low (OK)",-1,0))),0)))</f>
        <v>5</v>
      </c>
      <c r="AE25" t="str">
        <f ca="1">IF(AND(CHOOSE(MONTH(TODAY()),G25,H25,I25,J25,K25,L25,M25,N25,O25,P25,Q25,R25)="✔",AD25&gt;=7,OR(V25&lt;&gt;"No",V25=""),OR(X25="No",X25="")),"⭐ PICK","")</f>
        <v/>
      </c>
      <c r="AI25">
        <v>17.95</v>
      </c>
      <c r="AJ25">
        <v>-18.984999999999999</v>
      </c>
      <c r="AK25" t="s">
        <v>12</v>
      </c>
      <c r="AL25" t="s">
        <v>77</v>
      </c>
      <c r="AM25" t="s">
        <v>57</v>
      </c>
      <c r="AN25" t="s">
        <v>58</v>
      </c>
      <c r="AO25">
        <v>-34.700000000000003</v>
      </c>
    </row>
    <row r="26" spans="1:43" x14ac:dyDescent="0.3">
      <c r="A26" t="s">
        <v>40</v>
      </c>
      <c r="B26" t="s">
        <v>230</v>
      </c>
      <c r="D26" t="s">
        <v>69</v>
      </c>
      <c r="E26" t="s">
        <v>57</v>
      </c>
      <c r="G26" t="s">
        <v>45</v>
      </c>
      <c r="H26" t="s">
        <v>45</v>
      </c>
      <c r="I26" t="s">
        <v>45</v>
      </c>
      <c r="J26" t="s">
        <v>45</v>
      </c>
      <c r="K26" t="s">
        <v>45</v>
      </c>
      <c r="L26" t="s">
        <v>45</v>
      </c>
      <c r="M26" t="s">
        <v>45</v>
      </c>
      <c r="N26" t="s">
        <v>45</v>
      </c>
      <c r="O26" t="s">
        <v>45</v>
      </c>
      <c r="P26" t="s">
        <v>45</v>
      </c>
      <c r="Q26" t="s">
        <v>45</v>
      </c>
      <c r="R26" t="s">
        <v>45</v>
      </c>
      <c r="X26" t="str">
        <f>IF(S26="", "", IF(S26&gt;78,"Yes","No"))</f>
        <v/>
      </c>
      <c r="AB26">
        <f>IF(Y26="Emission Nebula",90,IF(Y26="Reflection Nebula",75,IF(Y26="Planetary Nebula",60,IF(Y26="Galaxy",90,IF(Y26="Globular Cluster",30,IF(Y26="Open Cluster",20,IF(Y26="Comet",20,IF(Y26="Planet",10,IF(Y26="Star",5,45)))))))))</f>
        <v>45</v>
      </c>
      <c r="AD26">
        <f>MAX(1,MIN(10,ROUND((IF(S26="",5,IF(S26&lt;3,2,IF(S26&lt;10,4,IF(S26&lt;=70,8,IF(S26&lt;=100,6,4))))))+IF(Y26="Emission Nebula",2,IF(Y26="Open Cluster",2,IF(Y26="Globular Cluster",2,IF(Y26="Reflection Nebula",1,IF(Y26="Planetary Nebula",1,IF(Y26="Comet",1,0))))))+IF(Z26="High (easy)",2,IF(Z26="Medium",1,IF(Z26="Low (hard)",-1,0)))+IF(AA26="High (OK with Moon)",2,IF(AA26="Medium",0,IF(AA26="Low (needs dark)",-2,0)))+IF(AC26="High (best &gt;50°)",1,IF(AC26="Medium",0,IF(AC26="Low (OK)",-1,0))),0)))</f>
        <v>5</v>
      </c>
      <c r="AE26" t="str">
        <f ca="1">IF(AND(CHOOSE(MONTH(TODAY()),G26,H26,I26,J26,K26,L26,M26,N26,O26,P26,Q26,R26)="✔",AD26&gt;=7,AM26="Yes",AO26&gt;=50,OR(X26="No",X26=""),OR(E26="No",V26="Yes")),"⭐ PICK","")</f>
        <v/>
      </c>
      <c r="AI26">
        <v>21.483000000000001</v>
      </c>
      <c r="AJ26">
        <v>12.167</v>
      </c>
      <c r="AK26" t="s">
        <v>14</v>
      </c>
      <c r="AL26" s="5">
        <f ca="1">IFERROR(MOD((AI26-(MOD(18.697374558+24.065709824419*(TODAY()-DATE(2000,1,1)+0.5)+$AZ$1/15,24)))/1.00273790935,24)/24,"")</f>
        <v>0.65769251233289749</v>
      </c>
      <c r="AM26" t="str">
        <f>IF(AO26&gt;=20,"Yes","No")</f>
        <v>Yes</v>
      </c>
      <c r="AN26" s="7" t="str">
        <f ca="1">IF(AM26="Yes",TEXT(AL26,"h:mm AM/PM"),"")</f>
        <v>3:47 PM</v>
      </c>
      <c r="AO26">
        <v>26.1</v>
      </c>
      <c r="AP26">
        <f>ROUND(MAX(0,MIN(10,(AO26-20)/6)),1)</f>
        <v>1</v>
      </c>
      <c r="AQ26" t="str">
        <f ca="1">IF(AE26="⭐ PICK","PICK at "&amp;AN26,"")</f>
        <v/>
      </c>
    </row>
    <row r="27" spans="1:43" hidden="1" x14ac:dyDescent="0.3">
      <c r="A27" t="s">
        <v>40</v>
      </c>
      <c r="B27" t="s">
        <v>85</v>
      </c>
      <c r="C27" t="s">
        <v>86</v>
      </c>
      <c r="D27" t="s">
        <v>60</v>
      </c>
      <c r="E27" t="s">
        <v>44</v>
      </c>
      <c r="K27" t="s">
        <v>45</v>
      </c>
      <c r="L27" t="s">
        <v>45</v>
      </c>
      <c r="M27" t="s">
        <v>45</v>
      </c>
      <c r="X27" t="str">
        <f>IF(S27="", "", IF(S27&gt;78,"Yes","No"))</f>
        <v/>
      </c>
      <c r="AB27">
        <f>IF(Y27="Emission Nebula",90,IF(Y27="Reflection Nebula",75,IF(Y27="Planetary Nebula",60,IF(Y27="Galaxy",90,IF(Y27="Globular Cluster",30,IF(Y27="Open Cluster",20,IF(Y27="Comet",20,IF(Y27="Planet",10,IF(Y27="Star",5,45)))))))))</f>
        <v>45</v>
      </c>
      <c r="AD27">
        <f>MAX(1,MIN(10,ROUND((IF(S27="",5,IF(S27&lt;3,2,IF(S27&lt;10,4,IF(S27&lt;=70,8,IF(S27&lt;=100,6,4))))))+IF(Y27="Emission Nebula",2,IF(Y27="Open Cluster",2,IF(Y27="Globular Cluster",2,IF(Y27="Reflection Nebula",1,IF(Y27="Planetary Nebula",1,IF(Y27="Comet",1,0))))))+IF(Z27="High (easy)",2,IF(Z27="Medium",1,IF(Z27="Low (hard)",-1,0)))+IF(AA27="High (OK with Moon)",2,IF(AA27="Medium",0,IF(AA27="Low (needs dark)",-2,0)))+IF(AC27="High (best &gt;50°)",1,IF(AC27="Medium",0,IF(AC27="Low (OK)",-1,0))),0)))</f>
        <v>5</v>
      </c>
      <c r="AE27" t="str">
        <f ca="1">IF(AND(CHOOSE(MONTH(TODAY()),G27,H27,I27,J27,K27,L27,M27,N27,O27,P27,Q27,R27)="✔",AD27&gt;=7,OR(V27&lt;&gt;"No",V27=""),OR(X27="No",X27="")),"⭐ PICK","")</f>
        <v/>
      </c>
      <c r="AI27">
        <v>18.516999999999999</v>
      </c>
      <c r="AJ27">
        <v>-19.117000000000001</v>
      </c>
      <c r="AK27" t="s">
        <v>12</v>
      </c>
      <c r="AL27" t="s">
        <v>52</v>
      </c>
      <c r="AM27" t="s">
        <v>57</v>
      </c>
      <c r="AN27" t="s">
        <v>58</v>
      </c>
      <c r="AO27">
        <v>-27.7</v>
      </c>
    </row>
    <row r="28" spans="1:43" x14ac:dyDescent="0.3">
      <c r="A28" t="s">
        <v>40</v>
      </c>
      <c r="B28" t="s">
        <v>231</v>
      </c>
      <c r="C28" t="s">
        <v>232</v>
      </c>
      <c r="D28" t="s">
        <v>179</v>
      </c>
      <c r="E28" t="s">
        <v>57</v>
      </c>
      <c r="I28" t="s">
        <v>45</v>
      </c>
      <c r="J28" t="s">
        <v>45</v>
      </c>
      <c r="K28" t="s">
        <v>45</v>
      </c>
      <c r="L28" t="s">
        <v>45</v>
      </c>
      <c r="S28">
        <v>10</v>
      </c>
      <c r="X28" t="str">
        <f>IF(S28="", "", IF(S28&gt;78,"Yes","No"))</f>
        <v>No</v>
      </c>
      <c r="Y28" t="s">
        <v>116</v>
      </c>
      <c r="Z28" t="s">
        <v>48</v>
      </c>
      <c r="AA28" t="s">
        <v>117</v>
      </c>
      <c r="AB28">
        <f>IF(Y28="Emission Nebula",90,IF(Y28="Reflection Nebula",75,IF(Y28="Planetary Nebula",60,IF(Y28="Galaxy",90,IF(Y28="Globular Cluster",30,IF(Y28="Open Cluster",20,IF(Y28="Comet",20,IF(Y28="Planet",10,IF(Y28="Star",5,45)))))))))</f>
        <v>90</v>
      </c>
      <c r="AC28" t="s">
        <v>49</v>
      </c>
      <c r="AD28">
        <f>MAX(1,MIN(10,ROUND((IF(S28="",5,IF(S28&lt;3,2,IF(S28&lt;10,4,IF(S28&lt;=70,8,IF(S28&lt;=100,6,4))))))+IF(Y28="Emission Nebula",2,IF(Y28="Open Cluster",2,IF(Y28="Globular Cluster",2,IF(Y28="Reflection Nebula",1,IF(Y28="Planetary Nebula",1,IF(Y28="Comet",1,0))))))+IF(Z28="High (easy)",2,IF(Z28="Medium",1,IF(Z28="Low (hard)",-1,0)))+IF(AA28="High (OK with Moon)",2,IF(AA28="Medium",0,IF(AA28="Low (needs dark)",-2,0)))+IF(AC28="High (best &gt;50°)",1,IF(AC28="Medium",0,IF(AC28="Low (OK)",-1,0))),0)))</f>
        <v>8</v>
      </c>
      <c r="AE28" t="str">
        <f ca="1">IF(AND(CHOOSE(MONTH(TODAY()),G28,H28,I28,J28,K28,L28,M28,N28,O28,P28,Q28,R28)="✔",AD28&gt;=7,AM28="Yes",AO28&gt;=50,OR(X28="No",X28=""),OR(E28="No",V28="Yes")),"⭐ PICK","")</f>
        <v/>
      </c>
      <c r="AI28">
        <v>18.3</v>
      </c>
      <c r="AJ28">
        <v>-13.807</v>
      </c>
      <c r="AK28" t="s">
        <v>12</v>
      </c>
      <c r="AL28" s="5">
        <f ca="1">IFERROR(MOD((AI28-(MOD(18.697374558+24.065709824419*(TODAY()-DATE(2000,1,1)+0.5)+$AZ$1/15,24)))/1.00273790935,24)/24,"")</f>
        <v>0.52542963609839788</v>
      </c>
      <c r="AM28" t="str">
        <f>IF(AO28&gt;=20,"Yes","No")</f>
        <v>No</v>
      </c>
      <c r="AN28" s="7" t="str">
        <f>IF(AM28="Yes",TEXT(AL28,"h:mm AM/PM"),"")</f>
        <v/>
      </c>
      <c r="AO28">
        <v>-27.8</v>
      </c>
      <c r="AP28">
        <f>ROUND(MAX(0,MIN(10,(AO28-20)/6)),1)</f>
        <v>0</v>
      </c>
      <c r="AQ28" t="str">
        <f ca="1">IF(AE28="⭐ PICK","PICK at "&amp;AN28,"")</f>
        <v/>
      </c>
    </row>
    <row r="29" spans="1:43" x14ac:dyDescent="0.3">
      <c r="A29" t="s">
        <v>40</v>
      </c>
      <c r="B29" t="s">
        <v>231</v>
      </c>
      <c r="C29" t="s">
        <v>232</v>
      </c>
      <c r="D29" t="s">
        <v>421</v>
      </c>
      <c r="H29" t="s">
        <v>45</v>
      </c>
      <c r="I29" t="s">
        <v>45</v>
      </c>
      <c r="J29" t="s">
        <v>45</v>
      </c>
      <c r="O29">
        <v>9</v>
      </c>
      <c r="P29">
        <v>60</v>
      </c>
      <c r="Q29" t="s">
        <v>414</v>
      </c>
      <c r="S29" t="s">
        <v>417</v>
      </c>
      <c r="T29" t="s">
        <v>190</v>
      </c>
      <c r="U29" t="s">
        <v>415</v>
      </c>
      <c r="V29" t="s">
        <v>48</v>
      </c>
      <c r="W29">
        <v>60</v>
      </c>
      <c r="X29" t="s">
        <v>416</v>
      </c>
      <c r="Y29">
        <v>8</v>
      </c>
      <c r="AC29">
        <v>12.67</v>
      </c>
      <c r="AD29">
        <v>-11.62</v>
      </c>
      <c r="AE29" t="str">
        <f ca="1">IF(AND(CHOOSE(MONTH(TODAY()),G29,H29,I29,J29,K29,L29,M29,N29,O29,P29,Q29,R29)="✔",AD29&gt;=7,AM29="Yes",AO29&gt;=50,OR(X29="No",X29=""),OR(E29="No",V29="Yes")),"⭐ PICK","")</f>
        <v/>
      </c>
      <c r="AL29" s="5">
        <f ca="1">IFERROR(MOD((AI29-(MOD(18.697374558+24.065709824419*(TODAY()-DATE(2000,1,1)+0.5)+$AZ$1/15,24)))/1.00273790935,24)/24,"")</f>
        <v>0.76501159177186817</v>
      </c>
      <c r="AM29" t="str">
        <f>IF(AO29&gt;=20,"Yes","No")</f>
        <v>No</v>
      </c>
      <c r="AN29" s="7" t="str">
        <f>IF(AM29="Yes",TEXT(AL29,"h:mm AM/PM"),"")</f>
        <v/>
      </c>
      <c r="AP29">
        <f>ROUND(MAX(0,MIN(10,(AO29-20)/6)),1)</f>
        <v>0</v>
      </c>
      <c r="AQ29" t="str">
        <f ca="1">IF(AE29="⭐ PICK","PICK at "&amp;AN29,"")</f>
        <v/>
      </c>
    </row>
    <row r="30" spans="1:43" hidden="1" x14ac:dyDescent="0.3">
      <c r="A30" t="s">
        <v>40</v>
      </c>
      <c r="B30" t="s">
        <v>90</v>
      </c>
      <c r="C30" t="s">
        <v>91</v>
      </c>
      <c r="D30" t="s">
        <v>76</v>
      </c>
      <c r="E30" t="s">
        <v>44</v>
      </c>
      <c r="L30" t="s">
        <v>45</v>
      </c>
      <c r="M30" t="s">
        <v>45</v>
      </c>
      <c r="N30" t="s">
        <v>45</v>
      </c>
      <c r="S30">
        <v>60</v>
      </c>
      <c r="X30" t="str">
        <f>IF(S30="", "", IF(S30&gt;78,"Yes","No"))</f>
        <v>No</v>
      </c>
      <c r="Y30" t="s">
        <v>46</v>
      </c>
      <c r="Z30" t="s">
        <v>47</v>
      </c>
      <c r="AA30" t="s">
        <v>48</v>
      </c>
      <c r="AB30">
        <f>IF(Y30="Emission Nebula",90,IF(Y30="Reflection Nebula",75,IF(Y30="Planetary Nebula",60,IF(Y30="Galaxy",90,IF(Y30="Globular Cluster",30,IF(Y30="Open Cluster",20,IF(Y30="Comet",20,IF(Y30="Planet",10,IF(Y30="Star",5,45)))))))))</f>
        <v>90</v>
      </c>
      <c r="AC30" t="s">
        <v>49</v>
      </c>
      <c r="AD30">
        <f>MAX(1,MIN(10,ROUND((IF(S30="",5,IF(S30&lt;3,2,IF(S30&lt;10,4,IF(S30&lt;=70,8,IF(S30&lt;=100,6,4))))))+IF(Y30="Emission Nebula",2,IF(Y30="Open Cluster",2,IF(Y30="Globular Cluster",2,IF(Y30="Reflection Nebula",1,IF(Y30="Planetary Nebula",1,IF(Y30="Comet",1,0))))))+IF(Z30="High (easy)",2,IF(Z30="Medium",1,IF(Z30="Low (hard)",-1,0)))+IF(AA30="High (OK with Moon)",2,IF(AA30="Medium",0,IF(AA30="Low (needs dark)",-2,0)))+IF(AC30="High (best &gt;50°)",1,IF(AC30="Medium",0,IF(AC30="Low (OK)",-1,0))),0)))</f>
        <v>10</v>
      </c>
      <c r="AE30" t="str">
        <f ca="1">IF(AND(CHOOSE(MONTH(TODAY()),G30,H30,I30,J30,K30,L30,M30,N30,O30,P30,Q30,R30)="✔",AD30&gt;=7,OR(V30&lt;&gt;"No",V30=""),OR(X30="No",X30="")),"⭐ PICK","")</f>
        <v/>
      </c>
      <c r="AI30">
        <v>18.399999999999999</v>
      </c>
      <c r="AJ30">
        <v>-24.867000000000001</v>
      </c>
      <c r="AK30" t="s">
        <v>12</v>
      </c>
      <c r="AL30" t="s">
        <v>64</v>
      </c>
      <c r="AM30" t="s">
        <v>57</v>
      </c>
      <c r="AN30" t="s">
        <v>58</v>
      </c>
      <c r="AO30">
        <v>-31.7</v>
      </c>
    </row>
    <row r="31" spans="1:43" hidden="1" x14ac:dyDescent="0.3">
      <c r="A31" t="s">
        <v>40</v>
      </c>
      <c r="B31" t="s">
        <v>92</v>
      </c>
      <c r="C31" t="s">
        <v>93</v>
      </c>
      <c r="D31" t="s">
        <v>76</v>
      </c>
      <c r="E31" t="s">
        <v>44</v>
      </c>
      <c r="L31" t="s">
        <v>45</v>
      </c>
      <c r="M31" t="s">
        <v>45</v>
      </c>
      <c r="N31" t="s">
        <v>45</v>
      </c>
      <c r="S31">
        <v>60</v>
      </c>
      <c r="X31" t="str">
        <f>IF(S31="", "", IF(S31&gt;78,"Yes","No"))</f>
        <v>No</v>
      </c>
      <c r="Y31" t="s">
        <v>46</v>
      </c>
      <c r="Z31" t="s">
        <v>47</v>
      </c>
      <c r="AA31" t="s">
        <v>48</v>
      </c>
      <c r="AB31">
        <f>IF(Y31="Emission Nebula",90,IF(Y31="Reflection Nebula",75,IF(Y31="Planetary Nebula",60,IF(Y31="Galaxy",90,IF(Y31="Globular Cluster",30,IF(Y31="Open Cluster",20,IF(Y31="Comet",20,IF(Y31="Planet",10,IF(Y31="Star",5,45)))))))))</f>
        <v>90</v>
      </c>
      <c r="AC31" t="s">
        <v>49</v>
      </c>
      <c r="AD31">
        <f>MAX(1,MIN(10,ROUND((IF(S31="",5,IF(S31&lt;3,2,IF(S31&lt;10,4,IF(S31&lt;=70,8,IF(S31&lt;=100,6,4))))))+IF(Y31="Emission Nebula",2,IF(Y31="Open Cluster",2,IF(Y31="Globular Cluster",2,IF(Y31="Reflection Nebula",1,IF(Y31="Planetary Nebula",1,IF(Y31="Comet",1,0))))))+IF(Z31="High (easy)",2,IF(Z31="Medium",1,IF(Z31="Low (hard)",-1,0)))+IF(AA31="High (OK with Moon)",2,IF(AA31="Medium",0,IF(AA31="Low (needs dark)",-2,0)))+IF(AC31="High (best &gt;50°)",1,IF(AC31="Medium",0,IF(AC31="Low (OK)",-1,0))),0)))</f>
        <v>10</v>
      </c>
      <c r="AE31" t="str">
        <f ca="1">IF(AND(CHOOSE(MONTH(TODAY()),G31,H31,I31,J31,K31,L31,M31,N31,O31,P31,Q31,R31)="✔",AD31&gt;=7,OR(V31&lt;&gt;"No",V31=""),OR(X31="No",X31="")),"⭐ PICK","")</f>
        <v/>
      </c>
      <c r="AI31">
        <v>20.382999999999999</v>
      </c>
      <c r="AJ31">
        <v>38.523000000000003</v>
      </c>
      <c r="AK31" t="s">
        <v>13</v>
      </c>
      <c r="AL31" t="s">
        <v>64</v>
      </c>
      <c r="AM31" t="s">
        <v>44</v>
      </c>
      <c r="AN31" t="s">
        <v>58</v>
      </c>
      <c r="AO31">
        <v>24.7</v>
      </c>
    </row>
    <row r="32" spans="1:43" x14ac:dyDescent="0.3">
      <c r="A32" t="s">
        <v>40</v>
      </c>
      <c r="B32" t="s">
        <v>236</v>
      </c>
      <c r="D32" t="s">
        <v>69</v>
      </c>
      <c r="E32" t="s">
        <v>57</v>
      </c>
      <c r="G32" t="s">
        <v>45</v>
      </c>
      <c r="H32" t="s">
        <v>45</v>
      </c>
      <c r="I32" t="s">
        <v>45</v>
      </c>
      <c r="J32" t="s">
        <v>45</v>
      </c>
      <c r="K32" t="s">
        <v>45</v>
      </c>
      <c r="L32" t="s">
        <v>45</v>
      </c>
      <c r="M32" t="s">
        <v>45</v>
      </c>
      <c r="N32" t="s">
        <v>45</v>
      </c>
      <c r="O32" t="s">
        <v>45</v>
      </c>
      <c r="P32" t="s">
        <v>45</v>
      </c>
      <c r="Q32" t="s">
        <v>45</v>
      </c>
      <c r="R32" t="s">
        <v>45</v>
      </c>
      <c r="X32" t="str">
        <f>IF(S32="", "", IF(S32&gt;78,"Yes","No"))</f>
        <v/>
      </c>
      <c r="AB32">
        <f>IF(Y32="Emission Nebula",90,IF(Y32="Reflection Nebula",75,IF(Y32="Planetary Nebula",60,IF(Y32="Galaxy",90,IF(Y32="Globular Cluster",30,IF(Y32="Open Cluster",20,IF(Y32="Comet",20,IF(Y32="Planet",10,IF(Y32="Star",5,45)))))))))</f>
        <v>45</v>
      </c>
      <c r="AD32">
        <f>MAX(1,MIN(10,ROUND((IF(S32="",5,IF(S32&lt;3,2,IF(S32&lt;10,4,IF(S32&lt;=70,8,IF(S32&lt;=100,6,4))))))+IF(Y32="Emission Nebula",2,IF(Y32="Open Cluster",2,IF(Y32="Globular Cluster",2,IF(Y32="Reflection Nebula",1,IF(Y32="Planetary Nebula",1,IF(Y32="Comet",1,0))))))+IF(Z32="High (easy)",2,IF(Z32="Medium",1,IF(Z32="Low (hard)",-1,0)))+IF(AA32="High (OK with Moon)",2,IF(AA32="Medium",0,IF(AA32="Low (needs dark)",-2,0)))+IF(AC32="High (best &gt;50°)",1,IF(AC32="Medium",0,IF(AC32="Low (OK)",-1,0))),0)))</f>
        <v>5</v>
      </c>
      <c r="AE32" t="str">
        <f ca="1">IF(AND(CHOOSE(MONTH(TODAY()),G32,H32,I32,J32,K32,L32,M32,N32,O32,P32,Q32,R32)="✔",AD32&gt;=7,AM32="Yes",AO32&gt;=50,OR(X32="No",X32=""),OR(E32="No",V32="Yes")),"⭐ PICK","")</f>
        <v/>
      </c>
      <c r="AI32">
        <v>17.033000000000001</v>
      </c>
      <c r="AJ32">
        <v>-26.266999999999999</v>
      </c>
      <c r="AK32" t="s">
        <v>12</v>
      </c>
      <c r="AL32" s="5">
        <f ca="1">IFERROR(MOD((AI32-(MOD(18.697374558+24.065709824419*(TODAY()-DATE(2000,1,1)+0.5)+$AZ$1/15,24)))/1.00273790935,24)/24,"")</f>
        <v>0.47278211357589989</v>
      </c>
      <c r="AM32" t="str">
        <f>IF(AO32&gt;=20,"Yes","No")</f>
        <v>No</v>
      </c>
      <c r="AN32" s="7" t="str">
        <f>IF(AM32="Yes",TEXT(AL32,"h:mm AM/PM"),"")</f>
        <v/>
      </c>
      <c r="AO32">
        <v>-26.9</v>
      </c>
      <c r="AP32">
        <f>ROUND(MAX(0,MIN(10,(AO32-20)/6)),1)</f>
        <v>0</v>
      </c>
      <c r="AQ32" t="str">
        <f ca="1">IF(AE32="⭐ PICK","PICK at "&amp;AN32,"")</f>
        <v/>
      </c>
    </row>
    <row r="33" spans="1:43" x14ac:dyDescent="0.3">
      <c r="A33" t="s">
        <v>40</v>
      </c>
      <c r="B33" t="s">
        <v>84</v>
      </c>
      <c r="C33" t="s">
        <v>54</v>
      </c>
      <c r="D33" t="s">
        <v>60</v>
      </c>
      <c r="E33" t="s">
        <v>57</v>
      </c>
      <c r="K33" t="s">
        <v>45</v>
      </c>
      <c r="L33" t="s">
        <v>45</v>
      </c>
      <c r="M33" t="s">
        <v>45</v>
      </c>
      <c r="S33">
        <v>10</v>
      </c>
      <c r="X33" t="str">
        <f>IF(S33="", "", IF(S33&gt;78,"Yes","No"))</f>
        <v>No</v>
      </c>
      <c r="Y33" t="s">
        <v>54</v>
      </c>
      <c r="Z33" t="s">
        <v>47</v>
      </c>
      <c r="AA33" t="s">
        <v>56</v>
      </c>
      <c r="AB33">
        <f>IF(Y33="Emission Nebula",90,IF(Y33="Reflection Nebula",75,IF(Y33="Planetary Nebula",60,IF(Y33="Galaxy",90,IF(Y33="Globular Cluster",30,IF(Y33="Open Cluster",20,IF(Y33="Comet",20,IF(Y33="Planet",10,IF(Y33="Star",5,45)))))))))</f>
        <v>30</v>
      </c>
      <c r="AC33" t="s">
        <v>48</v>
      </c>
      <c r="AD33">
        <f>MAX(1,MIN(10,ROUND((IF(S33="",5,IF(S33&lt;3,2,IF(S33&lt;10,4,IF(S33&lt;=70,8,IF(S33&lt;=100,6,4))))))+IF(Y33="Emission Nebula",2,IF(Y33="Open Cluster",2,IF(Y33="Globular Cluster",2,IF(Y33="Reflection Nebula",1,IF(Y33="Planetary Nebula",1,IF(Y33="Comet",1,0))))))+IF(Z33="High (easy)",2,IF(Z33="Medium",1,IF(Z33="Low (hard)",-1,0)))+IF(AA33="High (OK with Moon)",2,IF(AA33="Medium",0,IF(AA33="Low (needs dark)",-2,0)))+IF(AC33="High (best &gt;50°)",1,IF(AC33="Medium",0,IF(AC33="Low (OK)",-1,0))),0)))</f>
        <v>10</v>
      </c>
      <c r="AE33" t="str">
        <f ca="1">IF(AND(CHOOSE(MONTH(TODAY()),G33,H33,I33,J33,K33,L33,M33,N33,O33,P33,Q33,R33)="✔",AD33&gt;=7,AM33="Yes",AO33&gt;=50,OR(X33="No",X33=""),OR(E33="No",V33="Yes")),"⭐ PICK","")</f>
        <v/>
      </c>
      <c r="AI33">
        <v>18.28</v>
      </c>
      <c r="AJ33">
        <v>-18.55</v>
      </c>
      <c r="AK33" t="s">
        <v>12</v>
      </c>
      <c r="AL33" s="5">
        <f ca="1">IFERROR(MOD((AI33-(MOD(18.697374558+24.065709824419*(TODAY()-DATE(2000,1,1)+0.5)+$AZ$1/15,24)))/1.00273790935,24)/24,"")</f>
        <v>0.52459857812645627</v>
      </c>
      <c r="AM33" t="str">
        <f>IF(AO33&gt;=20,"Yes","No")</f>
        <v>No</v>
      </c>
      <c r="AN33" s="7" t="str">
        <f>IF(AM33="Yes",TEXT(AL33,"h:mm AM/PM"),"")</f>
        <v/>
      </c>
      <c r="AO33">
        <v>-30.4</v>
      </c>
      <c r="AP33">
        <f>ROUND(MAX(0,MIN(10,(AO33-20)/6)),1)</f>
        <v>0</v>
      </c>
      <c r="AQ33" t="str">
        <f ca="1">IF(AE33="⭐ PICK","PICK at "&amp;AN33,"")</f>
        <v/>
      </c>
    </row>
    <row r="34" spans="1:43" hidden="1" x14ac:dyDescent="0.3">
      <c r="A34" t="s">
        <v>40</v>
      </c>
      <c r="B34" t="s">
        <v>53</v>
      </c>
      <c r="C34" t="s">
        <v>54</v>
      </c>
      <c r="D34" t="s">
        <v>55</v>
      </c>
      <c r="E34" t="s">
        <v>44</v>
      </c>
      <c r="N34" t="s">
        <v>45</v>
      </c>
      <c r="O34" t="s">
        <v>45</v>
      </c>
      <c r="P34" t="s">
        <v>45</v>
      </c>
      <c r="S34">
        <v>10</v>
      </c>
      <c r="X34" t="str">
        <f>IF(S34="", "", IF(S34&gt;78,"Yes","No"))</f>
        <v>No</v>
      </c>
      <c r="Y34" t="s">
        <v>54</v>
      </c>
      <c r="Z34" t="s">
        <v>47</v>
      </c>
      <c r="AA34" t="s">
        <v>56</v>
      </c>
      <c r="AB34">
        <f>IF(Y34="Emission Nebula",90,IF(Y34="Reflection Nebula",75,IF(Y34="Planetary Nebula",60,IF(Y34="Galaxy",90,IF(Y34="Globular Cluster",30,IF(Y34="Open Cluster",20,IF(Y34="Comet",20,IF(Y34="Planet",10,IF(Y34="Star",5,45)))))))))</f>
        <v>30</v>
      </c>
      <c r="AC34" t="s">
        <v>48</v>
      </c>
      <c r="AD34">
        <f>MAX(1,MIN(10,ROUND((IF(S34="",5,IF(S34&lt;3,2,IF(S34&lt;10,4,IF(S34&lt;=70,8,IF(S34&lt;=100,6,4))))))+IF(Y34="Emission Nebula",2,IF(Y34="Open Cluster",2,IF(Y34="Globular Cluster",2,IF(Y34="Reflection Nebula",1,IF(Y34="Planetary Nebula",1,IF(Y34="Comet",1,0))))))+IF(Z34="High (easy)",2,IF(Z34="Medium",1,IF(Z34="Low (hard)",-1,0)))+IF(AA34="High (OK with Moon)",2,IF(AA34="Medium",0,IF(AA34="Low (needs dark)",-2,0)))+IF(AC34="High (best &gt;50°)",1,IF(AC34="Medium",0,IF(AC34="Low (OK)",-1,0))),0)))</f>
        <v>10</v>
      </c>
      <c r="AE34" t="str">
        <f ca="1">IF(AND(CHOOSE(MONTH(TODAY()),G34,H34,I34,J34,K34,L34,M34,N34,O34,P34,Q34,R34)="✔",AD34&gt;=7,OR(V34&lt;&gt;"No",V34=""),OR(X34="No",X34="")),"⭐ PICK","")</f>
        <v/>
      </c>
      <c r="AI34">
        <v>0.7</v>
      </c>
      <c r="AJ34">
        <v>40.85</v>
      </c>
      <c r="AK34" t="s">
        <v>15</v>
      </c>
      <c r="AL34" t="s">
        <v>87</v>
      </c>
      <c r="AM34" t="s">
        <v>44</v>
      </c>
      <c r="AN34" t="s">
        <v>58</v>
      </c>
      <c r="AO34">
        <v>73.400000000000006</v>
      </c>
    </row>
    <row r="35" spans="1:43" x14ac:dyDescent="0.3">
      <c r="A35" t="s">
        <v>40</v>
      </c>
      <c r="B35" t="s">
        <v>85</v>
      </c>
      <c r="C35" t="s">
        <v>412</v>
      </c>
      <c r="D35" t="s">
        <v>395</v>
      </c>
      <c r="I35" t="s">
        <v>45</v>
      </c>
      <c r="J35" t="s">
        <v>45</v>
      </c>
      <c r="K35" t="s">
        <v>45</v>
      </c>
      <c r="O35">
        <v>20</v>
      </c>
      <c r="P35">
        <v>20</v>
      </c>
      <c r="Q35" t="s">
        <v>414</v>
      </c>
      <c r="S35" t="s">
        <v>417</v>
      </c>
      <c r="T35" t="s">
        <v>54</v>
      </c>
      <c r="U35" t="s">
        <v>415</v>
      </c>
      <c r="V35" t="s">
        <v>416</v>
      </c>
      <c r="W35">
        <v>20</v>
      </c>
      <c r="X35" t="s">
        <v>416</v>
      </c>
      <c r="Y35">
        <v>10</v>
      </c>
      <c r="AC35">
        <v>16.7</v>
      </c>
      <c r="AD35">
        <v>36.46</v>
      </c>
      <c r="AE35" t="str">
        <f ca="1">IF(AND(CHOOSE(MONTH(TODAY()),G35,H35,I35,J35,K35,L35,M35,N35,O35,P35,Q35,R35)="✔",AD35&gt;=7,AM35="Yes",AO35&gt;=50,OR(X35="No",X35=""),OR(E35="No",V35="Yes")),"⭐ PICK","")</f>
        <v/>
      </c>
      <c r="AL35" s="5">
        <f ca="1">IFERROR(MOD((AI35-(MOD(18.697374558+24.065709824419*(TODAY()-DATE(2000,1,1)+0.5)+$AZ$1/15,24)))/1.00273790935,24)/24,"")</f>
        <v>0.76501159177186817</v>
      </c>
      <c r="AM35" t="str">
        <f>IF(AO35&gt;=20,"Yes","No")</f>
        <v>No</v>
      </c>
      <c r="AN35" s="7" t="str">
        <f>IF(AM35="Yes",TEXT(AL35,"h:mm AM/PM"),"")</f>
        <v/>
      </c>
      <c r="AP35">
        <f>ROUND(MAX(0,MIN(10,(AO35-20)/6)),1)</f>
        <v>0</v>
      </c>
      <c r="AQ35" t="str">
        <f ca="1">IF(AE35="⭐ PICK","PICK at "&amp;AN35,"")</f>
        <v/>
      </c>
    </row>
    <row r="36" spans="1:43" x14ac:dyDescent="0.3">
      <c r="A36" t="s">
        <v>40</v>
      </c>
      <c r="B36" t="s">
        <v>88</v>
      </c>
      <c r="C36" t="s">
        <v>54</v>
      </c>
      <c r="D36" t="s">
        <v>60</v>
      </c>
      <c r="E36" t="s">
        <v>57</v>
      </c>
      <c r="K36" t="s">
        <v>45</v>
      </c>
      <c r="L36" t="s">
        <v>45</v>
      </c>
      <c r="M36" t="s">
        <v>45</v>
      </c>
      <c r="S36">
        <v>10</v>
      </c>
      <c r="X36" t="str">
        <f>IF(S36="", "", IF(S36&gt;78,"Yes","No"))</f>
        <v>No</v>
      </c>
      <c r="Y36" t="s">
        <v>54</v>
      </c>
      <c r="Z36" t="s">
        <v>47</v>
      </c>
      <c r="AA36" t="s">
        <v>56</v>
      </c>
      <c r="AB36">
        <f>IF(Y36="Emission Nebula",90,IF(Y36="Reflection Nebula",75,IF(Y36="Planetary Nebula",60,IF(Y36="Galaxy",90,IF(Y36="Globular Cluster",30,IF(Y36="Open Cluster",20,IF(Y36="Comet",20,IF(Y36="Planet",10,IF(Y36="Star",5,45)))))))))</f>
        <v>30</v>
      </c>
      <c r="AC36" t="s">
        <v>48</v>
      </c>
      <c r="AD36">
        <f>MAX(1,MIN(10,ROUND((IF(S36="",5,IF(S36&lt;3,2,IF(S36&lt;10,4,IF(S36&lt;=70,8,IF(S36&lt;=100,6,4))))))+IF(Y36="Emission Nebula",2,IF(Y36="Open Cluster",2,IF(Y36="Globular Cluster",2,IF(Y36="Reflection Nebula",1,IF(Y36="Planetary Nebula",1,IF(Y36="Comet",1,0))))))+IF(Z36="High (easy)",2,IF(Z36="Medium",1,IF(Z36="Low (hard)",-1,0)))+IF(AA36="High (OK with Moon)",2,IF(AA36="Medium",0,IF(AA36="Low (needs dark)",-2,0)))+IF(AC36="High (best &gt;50°)",1,IF(AC36="Medium",0,IF(AC36="Low (OK)",-1,0))),0)))</f>
        <v>10</v>
      </c>
      <c r="AE36" t="str">
        <f ca="1">IF(AND(CHOOSE(MONTH(TODAY()),G36,H36,I36,J36,K36,L36,M36,N36,O36,P36,Q36,R36)="✔",AD36&gt;=7,AM36="Yes",AO36&gt;=50,OR(X36="No",X36=""),OR(E36="No",V36="Yes")),"⭐ PICK","")</f>
        <v/>
      </c>
      <c r="AI36">
        <v>18.75</v>
      </c>
      <c r="AJ36">
        <v>-9.3829999999999991</v>
      </c>
      <c r="AK36" t="s">
        <v>12</v>
      </c>
      <c r="AL36" s="5">
        <f ca="1">IFERROR(MOD((AI36-(MOD(18.697374558+24.065709824419*(TODAY()-DATE(2000,1,1)+0.5)+$AZ$1/15,24)))/1.00273790935,24)/24,"")</f>
        <v>0.54412844046708297</v>
      </c>
      <c r="AM36" t="str">
        <f>IF(AO36&gt;=20,"Yes","No")</f>
        <v>No</v>
      </c>
      <c r="AN36" s="7" t="str">
        <f>IF(AM36="Yes",TEXT(AL36,"h:mm AM/PM"),"")</f>
        <v/>
      </c>
      <c r="AO36">
        <v>-19.899999999999999</v>
      </c>
      <c r="AP36">
        <f>ROUND(MAX(0,MIN(10,(AO36-20)/6)),1)</f>
        <v>0</v>
      </c>
      <c r="AQ36" t="str">
        <f ca="1">IF(AE36="⭐ PICK","PICK at "&amp;AN36,"")</f>
        <v/>
      </c>
    </row>
    <row r="37" spans="1:43" x14ac:dyDescent="0.3">
      <c r="A37" t="s">
        <v>40</v>
      </c>
      <c r="B37" t="s">
        <v>89</v>
      </c>
      <c r="C37" t="s">
        <v>54</v>
      </c>
      <c r="D37" t="s">
        <v>60</v>
      </c>
      <c r="E37" t="s">
        <v>57</v>
      </c>
      <c r="K37" t="s">
        <v>45</v>
      </c>
      <c r="L37" t="s">
        <v>45</v>
      </c>
      <c r="M37" t="s">
        <v>45</v>
      </c>
      <c r="S37">
        <v>10</v>
      </c>
      <c r="X37" t="str">
        <f>IF(S37="", "", IF(S37&gt;78,"Yes","No"))</f>
        <v>No</v>
      </c>
      <c r="Y37" t="s">
        <v>54</v>
      </c>
      <c r="Z37" t="s">
        <v>47</v>
      </c>
      <c r="AA37" t="s">
        <v>56</v>
      </c>
      <c r="AB37">
        <f>IF(Y37="Emission Nebula",90,IF(Y37="Reflection Nebula",75,IF(Y37="Planetary Nebula",60,IF(Y37="Galaxy",90,IF(Y37="Globular Cluster",30,IF(Y37="Open Cluster",20,IF(Y37="Comet",20,IF(Y37="Planet",10,IF(Y37="Star",5,45)))))))))</f>
        <v>30</v>
      </c>
      <c r="AC37" t="s">
        <v>48</v>
      </c>
      <c r="AD37">
        <f>MAX(1,MIN(10,ROUND((IF(S37="",5,IF(S37&lt;3,2,IF(S37&lt;10,4,IF(S37&lt;=70,8,IF(S37&lt;=100,6,4))))))+IF(Y37="Emission Nebula",2,IF(Y37="Open Cluster",2,IF(Y37="Globular Cluster",2,IF(Y37="Reflection Nebula",1,IF(Y37="Planetary Nebula",1,IF(Y37="Comet",1,0))))))+IF(Z37="High (easy)",2,IF(Z37="Medium",1,IF(Z37="Low (hard)",-1,0)))+IF(AA37="High (OK with Moon)",2,IF(AA37="Medium",0,IF(AA37="Low (needs dark)",-2,0)))+IF(AC37="High (best &gt;50°)",1,IF(AC37="Medium",0,IF(AC37="Low (OK)",-1,0))),0)))</f>
        <v>10</v>
      </c>
      <c r="AE37" t="str">
        <f ca="1">IF(AND(CHOOSE(MONTH(TODAY()),G37,H37,I37,J37,K37,L37,M37,N37,O37,P37,Q37,R37)="✔",AD37&gt;=7,AM37="Yes",AO37&gt;=50,OR(X37="No",X37=""),OR(E37="No",V37="Yes")),"⭐ PICK","")</f>
        <v/>
      </c>
      <c r="AI37">
        <v>19.983000000000001</v>
      </c>
      <c r="AJ37">
        <v>22.716999999999999</v>
      </c>
      <c r="AK37" t="s">
        <v>13</v>
      </c>
      <c r="AL37" s="5">
        <f ca="1">IFERROR(MOD((AI37-(MOD(18.697374558+24.065709824419*(TODAY()-DATE(2000,1,1)+0.5)+$AZ$1/15,24)))/1.00273790935,24)/24,"")</f>
        <v>0.59536316443728032</v>
      </c>
      <c r="AM37" t="str">
        <f>IF(AO37&gt;=20,"Yes","No")</f>
        <v>No</v>
      </c>
      <c r="AN37" s="7" t="str">
        <f>IF(AM37="Yes",TEXT(AL37,"h:mm AM/PM"),"")</f>
        <v/>
      </c>
      <c r="AO37">
        <v>12.8</v>
      </c>
      <c r="AP37">
        <f>ROUND(MAX(0,MIN(10,(AO37-20)/6)),1)</f>
        <v>0</v>
      </c>
      <c r="AQ37" t="str">
        <f ca="1">IF(AE37="⭐ PICK","PICK at "&amp;AN37,"")</f>
        <v/>
      </c>
    </row>
    <row r="38" spans="1:43" x14ac:dyDescent="0.3">
      <c r="A38" t="s">
        <v>40</v>
      </c>
      <c r="B38" t="s">
        <v>90</v>
      </c>
      <c r="C38" t="s">
        <v>91</v>
      </c>
      <c r="D38" t="s">
        <v>395</v>
      </c>
      <c r="I38" t="s">
        <v>45</v>
      </c>
      <c r="J38" t="s">
        <v>45</v>
      </c>
      <c r="K38" t="s">
        <v>45</v>
      </c>
      <c r="O38">
        <v>35</v>
      </c>
      <c r="P38">
        <v>90</v>
      </c>
      <c r="Q38" t="s">
        <v>414</v>
      </c>
      <c r="S38" t="s">
        <v>417</v>
      </c>
      <c r="T38" t="s">
        <v>46</v>
      </c>
      <c r="U38" t="s">
        <v>48</v>
      </c>
      <c r="V38" t="s">
        <v>389</v>
      </c>
      <c r="W38">
        <v>90</v>
      </c>
      <c r="X38" t="s">
        <v>416</v>
      </c>
      <c r="Y38">
        <v>8</v>
      </c>
      <c r="AC38">
        <v>18.309999999999999</v>
      </c>
      <c r="AD38">
        <v>-13.78</v>
      </c>
      <c r="AE38" t="str">
        <f ca="1">IF(AND(CHOOSE(MONTH(TODAY()),G38,H38,I38,J38,K38,L38,M38,N38,O38,P38,Q38,R38)="✔",AD38&gt;=7,AM38="Yes",AO38&gt;=50,OR(X38="No",X38=""),OR(E38="No",V38="Yes")),"⭐ PICK","")</f>
        <v/>
      </c>
      <c r="AL38" s="5">
        <f ca="1">IFERROR(MOD((AI38-(MOD(18.697374558+24.065709824419*(TODAY()-DATE(2000,1,1)+0.5)+$AZ$1/15,24)))/1.00273790935,24)/24,"")</f>
        <v>0.76501159177186817</v>
      </c>
      <c r="AM38" t="str">
        <f>IF(AO38&gt;=20,"Yes","No")</f>
        <v>No</v>
      </c>
      <c r="AN38" s="7" t="str">
        <f>IF(AM38="Yes",TEXT(AL38,"h:mm AM/PM"),"")</f>
        <v/>
      </c>
      <c r="AP38">
        <f>ROUND(MAX(0,MIN(10,(AO38-20)/6)),1)</f>
        <v>0</v>
      </c>
      <c r="AQ38" t="str">
        <f ca="1">IF(AE38="⭐ PICK","PICK at "&amp;AN38,"")</f>
        <v/>
      </c>
    </row>
    <row r="39" spans="1:43" x14ac:dyDescent="0.3">
      <c r="A39" t="s">
        <v>40</v>
      </c>
      <c r="B39" t="s">
        <v>92</v>
      </c>
      <c r="C39" t="s">
        <v>93</v>
      </c>
      <c r="D39" t="s">
        <v>395</v>
      </c>
      <c r="I39" t="s">
        <v>45</v>
      </c>
      <c r="J39" t="s">
        <v>45</v>
      </c>
      <c r="K39" t="s">
        <v>45</v>
      </c>
      <c r="O39">
        <v>46</v>
      </c>
      <c r="P39">
        <v>60</v>
      </c>
      <c r="Q39" t="s">
        <v>414</v>
      </c>
      <c r="S39" t="s">
        <v>417</v>
      </c>
      <c r="T39" t="s">
        <v>46</v>
      </c>
      <c r="U39" t="s">
        <v>415</v>
      </c>
      <c r="V39" t="s">
        <v>48</v>
      </c>
      <c r="W39">
        <v>60</v>
      </c>
      <c r="X39" t="s">
        <v>416</v>
      </c>
      <c r="Y39">
        <v>9</v>
      </c>
      <c r="AC39">
        <v>18.329999999999998</v>
      </c>
      <c r="AD39">
        <v>-16.18</v>
      </c>
      <c r="AE39" t="str">
        <f ca="1">IF(AND(CHOOSE(MONTH(TODAY()),G39,H39,I39,J39,K39,L39,M39,N39,O39,P39,Q39,R39)="✔",AD39&gt;=7,AM39="Yes",AO39&gt;=50,OR(X39="No",X39=""),OR(E39="No",V39="Yes")),"⭐ PICK","")</f>
        <v/>
      </c>
      <c r="AL39" s="5">
        <f ca="1">IFERROR(MOD((AI39-(MOD(18.697374558+24.065709824419*(TODAY()-DATE(2000,1,1)+0.5)+$AZ$1/15,24)))/1.00273790935,24)/24,"")</f>
        <v>0.76501159177186817</v>
      </c>
      <c r="AM39" t="str">
        <f>IF(AO39&gt;=20,"Yes","No")</f>
        <v>No</v>
      </c>
      <c r="AN39" s="7" t="str">
        <f>IF(AM39="Yes",TEXT(AL39,"h:mm AM/PM"),"")</f>
        <v/>
      </c>
      <c r="AP39">
        <f>ROUND(MAX(0,MIN(10,(AO39-20)/6)),1)</f>
        <v>0</v>
      </c>
      <c r="AQ39" t="str">
        <f ca="1">IF(AE39="⭐ PICK","PICK at "&amp;AN39,"")</f>
        <v/>
      </c>
    </row>
    <row r="40" spans="1:43" x14ac:dyDescent="0.3">
      <c r="A40" t="s">
        <v>40</v>
      </c>
      <c r="B40" t="s">
        <v>94</v>
      </c>
      <c r="C40" t="s">
        <v>70</v>
      </c>
      <c r="D40" t="s">
        <v>69</v>
      </c>
      <c r="E40" t="s">
        <v>57</v>
      </c>
      <c r="G40" t="s">
        <v>45</v>
      </c>
      <c r="H40" t="s">
        <v>45</v>
      </c>
      <c r="I40" t="s">
        <v>45</v>
      </c>
      <c r="J40" t="s">
        <v>45</v>
      </c>
      <c r="K40" t="s">
        <v>45</v>
      </c>
      <c r="L40" t="s">
        <v>45</v>
      </c>
      <c r="M40" t="s">
        <v>45</v>
      </c>
      <c r="N40" t="s">
        <v>45</v>
      </c>
      <c r="O40" t="s">
        <v>45</v>
      </c>
      <c r="P40" t="s">
        <v>45</v>
      </c>
      <c r="Q40" t="s">
        <v>45</v>
      </c>
      <c r="R40" t="s">
        <v>45</v>
      </c>
      <c r="S40">
        <v>20</v>
      </c>
      <c r="X40" t="str">
        <f>IF(S40="", "", IF(S40&gt;78,"Yes","No"))</f>
        <v>No</v>
      </c>
      <c r="Y40" t="s">
        <v>70</v>
      </c>
      <c r="Z40" t="s">
        <v>47</v>
      </c>
      <c r="AA40" t="s">
        <v>56</v>
      </c>
      <c r="AB40">
        <f>IF(Y40="Emission Nebula",90,IF(Y40="Reflection Nebula",75,IF(Y40="Planetary Nebula",60,IF(Y40="Galaxy",90,IF(Y40="Globular Cluster",30,IF(Y40="Open Cluster",20,IF(Y40="Comet",20,IF(Y40="Planet",10,IF(Y40="Star",5,45)))))))))</f>
        <v>20</v>
      </c>
      <c r="AC40" t="s">
        <v>71</v>
      </c>
      <c r="AD40">
        <f>MAX(1,MIN(10,ROUND((IF(S40="",5,IF(S40&lt;3,2,IF(S40&lt;10,4,IF(S40&lt;=70,8,IF(S40&lt;=100,6,4))))))+IF(Y40="Emission Nebula",2,IF(Y40="Open Cluster",2,IF(Y40="Globular Cluster",2,IF(Y40="Reflection Nebula",1,IF(Y40="Planetary Nebula",1,IF(Y40="Comet",1,0))))))+IF(Z40="High (easy)",2,IF(Z40="Medium",1,IF(Z40="Low (hard)",-1,0)))+IF(AA40="High (OK with Moon)",2,IF(AA40="Medium",0,IF(AA40="Low (needs dark)",-2,0)))+IF(AC40="High (best &gt;50°)",1,IF(AC40="Medium",0,IF(AC40="Low (OK)",-1,0))),0)))</f>
        <v>10</v>
      </c>
      <c r="AE40" t="str">
        <f ca="1">IF(AND(CHOOSE(MONTH(TODAY()),G40,H40,I40,J40,K40,L40,M40,N40,O40,P40,Q40,R40)="✔",AD40&gt;=7,AM40="Yes",AO40&gt;=50,OR(X40="No",X40=""),OR(E40="No",V40="Yes")),"⭐ PICK","")</f>
        <v/>
      </c>
      <c r="AI40">
        <v>21.667000000000002</v>
      </c>
      <c r="AJ40">
        <v>-23.167000000000002</v>
      </c>
      <c r="AK40" t="s">
        <v>14</v>
      </c>
      <c r="AL40" s="5">
        <f ca="1">IFERROR(MOD((AI40-(MOD(18.697374558+24.065709824419*(TODAY()-DATE(2000,1,1)+0.5)+$AZ$1/15,24)))/1.00273790935,24)/24,"")</f>
        <v>0.66533824567475996</v>
      </c>
      <c r="AM40" t="str">
        <f>IF(AO40&gt;=20,"Yes","No")</f>
        <v>No</v>
      </c>
      <c r="AN40" s="7" t="str">
        <f>IF(AM40="Yes",TEXT(AL40,"h:mm AM/PM"),"")</f>
        <v/>
      </c>
      <c r="AO40">
        <v>7.2</v>
      </c>
      <c r="AP40">
        <f>ROUND(MAX(0,MIN(10,(AO40-20)/6)),1)</f>
        <v>0</v>
      </c>
      <c r="AQ40" t="str">
        <f ca="1">IF(AE40="⭐ PICK","PICK at "&amp;AN40,"")</f>
        <v/>
      </c>
    </row>
    <row r="41" spans="1:43" x14ac:dyDescent="0.3">
      <c r="A41" t="s">
        <v>40</v>
      </c>
      <c r="B41" t="s">
        <v>95</v>
      </c>
      <c r="C41" t="s">
        <v>70</v>
      </c>
      <c r="D41" t="s">
        <v>69</v>
      </c>
      <c r="E41" t="s">
        <v>57</v>
      </c>
      <c r="G41" t="s">
        <v>45</v>
      </c>
      <c r="H41" t="s">
        <v>45</v>
      </c>
      <c r="I41" t="s">
        <v>45</v>
      </c>
      <c r="J41" t="s">
        <v>45</v>
      </c>
      <c r="K41" t="s">
        <v>45</v>
      </c>
      <c r="L41" t="s">
        <v>45</v>
      </c>
      <c r="M41" t="s">
        <v>45</v>
      </c>
      <c r="N41" t="s">
        <v>45</v>
      </c>
      <c r="O41" t="s">
        <v>45</v>
      </c>
      <c r="P41" t="s">
        <v>45</v>
      </c>
      <c r="Q41" t="s">
        <v>45</v>
      </c>
      <c r="R41" t="s">
        <v>45</v>
      </c>
      <c r="S41">
        <v>20</v>
      </c>
      <c r="X41" t="str">
        <f>IF(S41="", "", IF(S41&gt;78,"Yes","No"))</f>
        <v>No</v>
      </c>
      <c r="Y41" t="s">
        <v>70</v>
      </c>
      <c r="Z41" t="s">
        <v>47</v>
      </c>
      <c r="AA41" t="s">
        <v>56</v>
      </c>
      <c r="AB41">
        <f>IF(Y41="Emission Nebula",90,IF(Y41="Reflection Nebula",75,IF(Y41="Planetary Nebula",60,IF(Y41="Galaxy",90,IF(Y41="Globular Cluster",30,IF(Y41="Open Cluster",20,IF(Y41="Comet",20,IF(Y41="Planet",10,IF(Y41="Star",5,45)))))))))</f>
        <v>20</v>
      </c>
      <c r="AC41" t="s">
        <v>71</v>
      </c>
      <c r="AD41">
        <f>MAX(1,MIN(10,ROUND((IF(S41="",5,IF(S41&lt;3,2,IF(S41&lt;10,4,IF(S41&lt;=70,8,IF(S41&lt;=100,6,4))))))+IF(Y41="Emission Nebula",2,IF(Y41="Open Cluster",2,IF(Y41="Globular Cluster",2,IF(Y41="Reflection Nebula",1,IF(Y41="Planetary Nebula",1,IF(Y41="Comet",1,0))))))+IF(Z41="High (easy)",2,IF(Z41="Medium",1,IF(Z41="Low (hard)",-1,0)))+IF(AA41="High (OK with Moon)",2,IF(AA41="Medium",0,IF(AA41="Low (needs dark)",-2,0)))+IF(AC41="High (best &gt;50°)",1,IF(AC41="Medium",0,IF(AC41="Low (OK)",-1,0))),0)))</f>
        <v>10</v>
      </c>
      <c r="AE41" t="str">
        <f ca="1">IF(AND(CHOOSE(MONTH(TODAY()),G41,H41,I41,J41,K41,L41,M41,N41,O41,P41,Q41,R41)="✔",AD41&gt;=7,AM41="Yes",AO41&gt;=50,OR(X41="No",X41=""),OR(E41="No",V41="Yes")),"⭐ PICK","")</f>
        <v>⭐ PICK</v>
      </c>
      <c r="AI41">
        <v>0.7</v>
      </c>
      <c r="AJ41">
        <v>41.267000000000003</v>
      </c>
      <c r="AK41" t="s">
        <v>15</v>
      </c>
      <c r="AL41" s="5">
        <f ca="1">IFERROR(MOD((AI41-(MOD(18.697374558+24.065709824419*(TODAY()-DATE(2000,1,1)+0.5)+$AZ$1/15,24)))/1.00273790935,24)/24,"")</f>
        <v>0.79409862078982274</v>
      </c>
      <c r="AM41" t="str">
        <f>IF(AO41&gt;=20,"Yes","No")</f>
        <v>Yes</v>
      </c>
      <c r="AN41" s="7" t="str">
        <f ca="1">IF(AM41="Yes",TEXT(AL41,"h:mm AM/PM"),"")</f>
        <v>7:03 PM</v>
      </c>
      <c r="AO41">
        <v>73.2</v>
      </c>
      <c r="AP41">
        <f>ROUND(MAX(0,MIN(10,(AO41-20)/6)),1)</f>
        <v>8.9</v>
      </c>
      <c r="AQ41" t="str">
        <f ca="1">IF(AE41="⭐ PICK","PICK at "&amp;AN41,"")</f>
        <v>PICK at 7:03 PM</v>
      </c>
    </row>
    <row r="42" spans="1:43" hidden="1" x14ac:dyDescent="0.3">
      <c r="A42" t="s">
        <v>40</v>
      </c>
      <c r="B42" t="s">
        <v>107</v>
      </c>
      <c r="C42" t="s">
        <v>108</v>
      </c>
      <c r="D42" t="s">
        <v>109</v>
      </c>
      <c r="E42" t="s">
        <v>44</v>
      </c>
      <c r="M42" t="s">
        <v>45</v>
      </c>
      <c r="N42" t="s">
        <v>45</v>
      </c>
      <c r="O42" t="s">
        <v>45</v>
      </c>
      <c r="S42">
        <v>60</v>
      </c>
      <c r="X42" t="str">
        <f>IF(S42="", "", IF(S42&gt;78,"Yes","No"))</f>
        <v>No</v>
      </c>
      <c r="Y42" t="s">
        <v>46</v>
      </c>
      <c r="Z42" t="s">
        <v>47</v>
      </c>
      <c r="AA42" t="s">
        <v>48</v>
      </c>
      <c r="AB42">
        <f>IF(Y42="Emission Nebula",90,IF(Y42="Reflection Nebula",75,IF(Y42="Planetary Nebula",60,IF(Y42="Galaxy",90,IF(Y42="Globular Cluster",30,IF(Y42="Open Cluster",20,IF(Y42="Comet",20,IF(Y42="Planet",10,IF(Y42="Star",5,45)))))))))</f>
        <v>90</v>
      </c>
      <c r="AC42" t="s">
        <v>49</v>
      </c>
      <c r="AD42">
        <f>MAX(1,MIN(10,ROUND((IF(S42="",5,IF(S42&lt;3,2,IF(S42&lt;10,4,IF(S42&lt;=70,8,IF(S42&lt;=100,6,4))))))+IF(Y42="Emission Nebula",2,IF(Y42="Open Cluster",2,IF(Y42="Globular Cluster",2,IF(Y42="Reflection Nebula",1,IF(Y42="Planetary Nebula",1,IF(Y42="Comet",1,0))))))+IF(Z42="High (easy)",2,IF(Z42="Medium",1,IF(Z42="Low (hard)",-1,0)))+IF(AA42="High (OK with Moon)",2,IF(AA42="Medium",0,IF(AA42="Low (needs dark)",-2,0)))+IF(AC42="High (best &gt;50°)",1,IF(AC42="Medium",0,IF(AC42="Low (OK)",-1,0))),0)))</f>
        <v>10</v>
      </c>
      <c r="AE42" t="str">
        <f ca="1">IF(AND(CHOOSE(MONTH(TODAY()),G42,H42,I42,J42,K42,L42,M42,N42,O42,P42,Q42,R42)="✔",AD42&gt;=7,OR(V42&lt;&gt;"No",V42=""),OR(X42="No",X42="")),"⭐ PICK","")</f>
        <v/>
      </c>
      <c r="AI42">
        <v>12.367000000000001</v>
      </c>
      <c r="AJ42">
        <v>58.067</v>
      </c>
      <c r="AK42" t="s">
        <v>9</v>
      </c>
      <c r="AL42" t="s">
        <v>64</v>
      </c>
      <c r="AM42" t="s">
        <v>44</v>
      </c>
      <c r="AN42" t="s">
        <v>62</v>
      </c>
      <c r="AO42">
        <v>55.1</v>
      </c>
    </row>
    <row r="43" spans="1:43" x14ac:dyDescent="0.3">
      <c r="A43" t="s">
        <v>40</v>
      </c>
      <c r="B43" t="s">
        <v>96</v>
      </c>
      <c r="C43" t="s">
        <v>97</v>
      </c>
      <c r="D43" t="s">
        <v>76</v>
      </c>
      <c r="E43" t="s">
        <v>57</v>
      </c>
      <c r="L43" t="s">
        <v>45</v>
      </c>
      <c r="M43" t="s">
        <v>45</v>
      </c>
      <c r="N43" t="s">
        <v>45</v>
      </c>
      <c r="S43">
        <v>60</v>
      </c>
      <c r="X43" t="str">
        <f>IF(S43="", "", IF(S43&gt;78,"Yes","No"))</f>
        <v>No</v>
      </c>
      <c r="Y43" t="s">
        <v>46</v>
      </c>
      <c r="Z43" t="s">
        <v>47</v>
      </c>
      <c r="AA43" t="s">
        <v>48</v>
      </c>
      <c r="AB43">
        <f>IF(Y43="Emission Nebula",90,IF(Y43="Reflection Nebula",75,IF(Y43="Planetary Nebula",60,IF(Y43="Galaxy",90,IF(Y43="Globular Cluster",30,IF(Y43="Open Cluster",20,IF(Y43="Comet",20,IF(Y43="Planet",10,IF(Y43="Star",5,45)))))))))</f>
        <v>90</v>
      </c>
      <c r="AC43" t="s">
        <v>49</v>
      </c>
      <c r="AD43">
        <f>MAX(1,MIN(10,ROUND((IF(S43="",5,IF(S43&lt;3,2,IF(S43&lt;10,4,IF(S43&lt;=70,8,IF(S43&lt;=100,6,4))))))+IF(Y43="Emission Nebula",2,IF(Y43="Open Cluster",2,IF(Y43="Globular Cluster",2,IF(Y43="Reflection Nebula",1,IF(Y43="Planetary Nebula",1,IF(Y43="Comet",1,0))))))+IF(Z43="High (easy)",2,IF(Z43="Medium",1,IF(Z43="Low (hard)",-1,0)))+IF(AA43="High (OK with Moon)",2,IF(AA43="Medium",0,IF(AA43="Low (needs dark)",-2,0)))+IF(AC43="High (best &gt;50°)",1,IF(AC43="Medium",0,IF(AC43="Low (OK)",-1,0))),0)))</f>
        <v>10</v>
      </c>
      <c r="AE43" t="str">
        <f ca="1">IF(AND(CHOOSE(MONTH(TODAY()),G43,H43,I43,J43,K43,L43,M43,N43,O43,P43,Q43,R43)="✔",AD43&gt;=7,AM43="Yes",AO43&gt;=50,OR(X43="No",X43=""),OR(E43="No",V43="Yes")),"⭐ PICK","")</f>
        <v/>
      </c>
      <c r="AI43">
        <v>1.55</v>
      </c>
      <c r="AJ43">
        <v>30.65</v>
      </c>
      <c r="AK43" t="s">
        <v>16</v>
      </c>
      <c r="AL43" s="5">
        <f ca="1">IFERROR(MOD((AI43-(MOD(18.697374558+24.065709824419*(TODAY()-DATE(2000,1,1)+0.5)+$AZ$1/15,24)))/1.00273790935,24)/24,"")</f>
        <v>0.8294185845973393</v>
      </c>
      <c r="AM43" t="str">
        <f>IF(AO43&gt;=20,"Yes","No")</f>
        <v>Yes</v>
      </c>
      <c r="AN43" s="7" t="str">
        <f ca="1">IF(AM43="Yes",TEXT(AL43,"h:mm AM/PM"),"")</f>
        <v>7:54 PM</v>
      </c>
      <c r="AO43">
        <v>84.7</v>
      </c>
      <c r="AP43">
        <f>ROUND(MAX(0,MIN(10,(AO43-20)/6)),1)</f>
        <v>10</v>
      </c>
      <c r="AQ43" t="str">
        <f ca="1">IF(AE43="⭐ PICK","PICK at "&amp;AN43,"")</f>
        <v/>
      </c>
    </row>
    <row r="44" spans="1:43" x14ac:dyDescent="0.3">
      <c r="A44" t="s">
        <v>40</v>
      </c>
      <c r="B44" t="s">
        <v>96</v>
      </c>
      <c r="C44" t="s">
        <v>97</v>
      </c>
      <c r="D44" t="s">
        <v>395</v>
      </c>
      <c r="I44" t="s">
        <v>45</v>
      </c>
      <c r="J44" t="s">
        <v>45</v>
      </c>
      <c r="K44" t="s">
        <v>45</v>
      </c>
      <c r="O44">
        <v>28</v>
      </c>
      <c r="P44">
        <v>90</v>
      </c>
      <c r="Q44" t="s">
        <v>414</v>
      </c>
      <c r="S44" t="s">
        <v>417</v>
      </c>
      <c r="T44" t="s">
        <v>411</v>
      </c>
      <c r="U44" t="s">
        <v>48</v>
      </c>
      <c r="V44" t="s">
        <v>389</v>
      </c>
      <c r="W44">
        <v>90</v>
      </c>
      <c r="X44" t="s">
        <v>416</v>
      </c>
      <c r="Y44">
        <v>8</v>
      </c>
      <c r="AC44">
        <v>18.04</v>
      </c>
      <c r="AD44">
        <v>-23.02</v>
      </c>
      <c r="AE44" t="str">
        <f ca="1">IF(AND(CHOOSE(MONTH(TODAY()),G44,H44,I44,J44,K44,L44,M44,N44,O44,P44,Q44,R44)="✔",AD44&gt;=7,AM44="Yes",AO44&gt;=50,OR(X44="No",X44=""),OR(E44="No",V44="Yes")),"⭐ PICK","")</f>
        <v/>
      </c>
      <c r="AL44" s="5">
        <f ca="1">IFERROR(MOD((AI44-(MOD(18.697374558+24.065709824419*(TODAY()-DATE(2000,1,1)+0.5)+$AZ$1/15,24)))/1.00273790935,24)/24,"")</f>
        <v>0.76501159177186817</v>
      </c>
      <c r="AM44" t="str">
        <f>IF(AO44&gt;=20,"Yes","No")</f>
        <v>No</v>
      </c>
      <c r="AN44" s="7" t="str">
        <f>IF(AM44="Yes",TEXT(AL44,"h:mm AM/PM"),"")</f>
        <v/>
      </c>
      <c r="AP44">
        <f>ROUND(MAX(0,MIN(10,(AO44-20)/6)),1)</f>
        <v>0</v>
      </c>
      <c r="AQ44" t="str">
        <f ca="1">IF(AE44="⭐ PICK","PICK at "&amp;AN44,"")</f>
        <v/>
      </c>
    </row>
    <row r="45" spans="1:43" x14ac:dyDescent="0.3">
      <c r="A45" t="s">
        <v>40</v>
      </c>
      <c r="B45" t="s">
        <v>98</v>
      </c>
      <c r="C45" t="s">
        <v>70</v>
      </c>
      <c r="D45" t="s">
        <v>69</v>
      </c>
      <c r="E45" t="s">
        <v>57</v>
      </c>
      <c r="G45" t="s">
        <v>45</v>
      </c>
      <c r="H45" t="s">
        <v>45</v>
      </c>
      <c r="I45" t="s">
        <v>45</v>
      </c>
      <c r="J45" t="s">
        <v>45</v>
      </c>
      <c r="K45" t="s">
        <v>45</v>
      </c>
      <c r="L45" t="s">
        <v>45</v>
      </c>
      <c r="M45" t="s">
        <v>45</v>
      </c>
      <c r="N45" t="s">
        <v>45</v>
      </c>
      <c r="O45" t="s">
        <v>45</v>
      </c>
      <c r="P45" t="s">
        <v>45</v>
      </c>
      <c r="Q45" t="s">
        <v>45</v>
      </c>
      <c r="R45" t="s">
        <v>45</v>
      </c>
      <c r="S45">
        <v>20</v>
      </c>
      <c r="X45" t="str">
        <f>IF(S45="", "", IF(S45&gt;78,"Yes","No"))</f>
        <v>No</v>
      </c>
      <c r="Y45" t="s">
        <v>70</v>
      </c>
      <c r="Z45" t="s">
        <v>47</v>
      </c>
      <c r="AA45" t="s">
        <v>56</v>
      </c>
      <c r="AB45">
        <f>IF(Y45="Emission Nebula",90,IF(Y45="Reflection Nebula",75,IF(Y45="Planetary Nebula",60,IF(Y45="Galaxy",90,IF(Y45="Globular Cluster",30,IF(Y45="Open Cluster",20,IF(Y45="Comet",20,IF(Y45="Planet",10,IF(Y45="Star",5,45)))))))))</f>
        <v>20</v>
      </c>
      <c r="AC45" t="s">
        <v>71</v>
      </c>
      <c r="AD45">
        <f>MAX(1,MIN(10,ROUND((IF(S45="",5,IF(S45&lt;3,2,IF(S45&lt;10,4,IF(S45&lt;=70,8,IF(S45&lt;=100,6,4))))))+IF(Y45="Emission Nebula",2,IF(Y45="Open Cluster",2,IF(Y45="Globular Cluster",2,IF(Y45="Reflection Nebula",1,IF(Y45="Planetary Nebula",1,IF(Y45="Comet",1,0))))))+IF(Z45="High (easy)",2,IF(Z45="Medium",1,IF(Z45="Low (hard)",-1,0)))+IF(AA45="High (OK with Moon)",2,IF(AA45="Medium",0,IF(AA45="Low (needs dark)",-2,0)))+IF(AC45="High (best &gt;50°)",1,IF(AC45="Medium",0,IF(AC45="Low (OK)",-1,0))),0)))</f>
        <v>10</v>
      </c>
      <c r="AE45" t="str">
        <f ca="1">IF(AND(CHOOSE(MONTH(TODAY()),G45,H45,I45,J45,K45,L45,M45,N45,O45,P45,Q45,R45)="✔",AD45&gt;=7,AM45="Yes",AO45&gt;=50,OR(X45="No",X45=""),OR(E45="No",V45="Yes")),"⭐ PICK","")</f>
        <v>⭐ PICK</v>
      </c>
      <c r="AI45">
        <v>2.7</v>
      </c>
      <c r="AJ45">
        <v>42.762</v>
      </c>
      <c r="AK45" t="s">
        <v>16</v>
      </c>
      <c r="AL45" s="5">
        <f ca="1">IFERROR(MOD((AI45-(MOD(18.697374558+24.065709824419*(TODAY()-DATE(2000,1,1)+0.5)+$AZ$1/15,24)))/1.00273790935,24)/24,"")</f>
        <v>0.87720441798397897</v>
      </c>
      <c r="AM45" t="str">
        <f>IF(AO45&gt;=20,"Yes","No")</f>
        <v>Yes</v>
      </c>
      <c r="AN45" s="7" t="str">
        <f ca="1">IF(AM45="Yes",TEXT(AL45,"h:mm AM/PM"),"")</f>
        <v>9:03 PM</v>
      </c>
      <c r="AO45">
        <v>80.2</v>
      </c>
      <c r="AP45">
        <f>ROUND(MAX(0,MIN(10,(AO45-20)/6)),1)</f>
        <v>10</v>
      </c>
      <c r="AQ45" t="str">
        <f ca="1">IF(AE45="⭐ PICK","PICK at "&amp;AN45,"")</f>
        <v>PICK at 9:03 PM</v>
      </c>
    </row>
    <row r="46" spans="1:43" x14ac:dyDescent="0.3">
      <c r="A46" t="s">
        <v>40</v>
      </c>
      <c r="B46" t="s">
        <v>99</v>
      </c>
      <c r="C46" t="s">
        <v>100</v>
      </c>
      <c r="D46" t="s">
        <v>76</v>
      </c>
      <c r="E46" t="s">
        <v>57</v>
      </c>
      <c r="L46" t="s">
        <v>45</v>
      </c>
      <c r="M46" t="s">
        <v>45</v>
      </c>
      <c r="N46" t="s">
        <v>45</v>
      </c>
      <c r="S46">
        <v>10</v>
      </c>
      <c r="X46" t="str">
        <f>IF(S46="", "", IF(S46&gt;78,"Yes","No"))</f>
        <v>No</v>
      </c>
      <c r="Y46" t="s">
        <v>54</v>
      </c>
      <c r="Z46" t="s">
        <v>47</v>
      </c>
      <c r="AA46" t="s">
        <v>56</v>
      </c>
      <c r="AB46">
        <f>IF(Y46="Emission Nebula",90,IF(Y46="Reflection Nebula",75,IF(Y46="Planetary Nebula",60,IF(Y46="Galaxy",90,IF(Y46="Globular Cluster",30,IF(Y46="Open Cluster",20,IF(Y46="Comet",20,IF(Y46="Planet",10,IF(Y46="Star",5,45)))))))))</f>
        <v>30</v>
      </c>
      <c r="AC46" t="s">
        <v>48</v>
      </c>
      <c r="AD46">
        <f>MAX(1,MIN(10,ROUND((IF(S46="",5,IF(S46&lt;3,2,IF(S46&lt;10,4,IF(S46&lt;=70,8,IF(S46&lt;=100,6,4))))))+IF(Y46="Emission Nebula",2,IF(Y46="Open Cluster",2,IF(Y46="Globular Cluster",2,IF(Y46="Reflection Nebula",1,IF(Y46="Planetary Nebula",1,IF(Y46="Comet",1,0))))))+IF(Z46="High (easy)",2,IF(Z46="Medium",1,IF(Z46="Low (hard)",-1,0)))+IF(AA46="High (OK with Moon)",2,IF(AA46="Medium",0,IF(AA46="Low (needs dark)",-2,0)))+IF(AC46="High (best &gt;50°)",1,IF(AC46="Medium",0,IF(AC46="Low (OK)",-1,0))),0)))</f>
        <v>10</v>
      </c>
      <c r="AE46" t="str">
        <f ca="1">IF(AND(CHOOSE(MONTH(TODAY()),G46,H46,I46,J46,K46,L46,M46,N46,O46,P46,Q46,R46)="✔",AD46&gt;=7,AM46="Yes",AO46&gt;=50,OR(X46="No",X46=""),OR(E46="No",V46="Yes")),"⭐ PICK","")</f>
        <v/>
      </c>
      <c r="AI46">
        <v>6.133</v>
      </c>
      <c r="AJ46">
        <v>24.332999999999998</v>
      </c>
      <c r="AK46" t="s">
        <v>6</v>
      </c>
      <c r="AL46" s="5">
        <f ca="1">IFERROR(MOD((AI46-(MOD(18.697374558+24.065709824419*(TODAY()-DATE(2000,1,1)+0.5)+$AZ$1/15,24)))/1.00273790935,24)/24,"")</f>
        <v>1.9855518867748254E-2</v>
      </c>
      <c r="AM46" t="str">
        <f>IF(AO46&gt;=20,"Yes","No")</f>
        <v>Yes</v>
      </c>
      <c r="AN46" s="7" t="str">
        <f ca="1">IF(AM46="Yes",TEXT(AL46,"h:mm AM/PM"),"")</f>
        <v>12:28 AM</v>
      </c>
      <c r="AO46">
        <v>81.3</v>
      </c>
      <c r="AP46">
        <f>ROUND(MAX(0,MIN(10,(AO46-20)/6)),1)</f>
        <v>10</v>
      </c>
      <c r="AQ46" t="str">
        <f ca="1">IF(AE46="⭐ PICK","PICK at "&amp;AN46,"")</f>
        <v/>
      </c>
    </row>
    <row r="47" spans="1:43" hidden="1" x14ac:dyDescent="0.3">
      <c r="A47" t="s">
        <v>40</v>
      </c>
      <c r="B47" t="s">
        <v>113</v>
      </c>
      <c r="C47" t="s">
        <v>114</v>
      </c>
      <c r="D47" t="s">
        <v>115</v>
      </c>
      <c r="E47" t="s">
        <v>44</v>
      </c>
      <c r="N47" t="s">
        <v>45</v>
      </c>
      <c r="O47" t="s">
        <v>45</v>
      </c>
      <c r="P47" t="s">
        <v>45</v>
      </c>
      <c r="Q47" t="s">
        <v>45</v>
      </c>
      <c r="S47">
        <v>190</v>
      </c>
      <c r="W47">
        <v>3</v>
      </c>
      <c r="X47" t="str">
        <f>IF(S47="", "", IF(S47&gt;78,"Yes","No"))</f>
        <v>Yes</v>
      </c>
      <c r="Y47" t="s">
        <v>116</v>
      </c>
      <c r="Z47" t="s">
        <v>48</v>
      </c>
      <c r="AA47" t="s">
        <v>117</v>
      </c>
      <c r="AB47">
        <f>IF(Y47="Emission Nebula",90,IF(Y47="Reflection Nebula",75,IF(Y47="Planetary Nebula",60,IF(Y47="Galaxy",90,IF(Y47="Globular Cluster",30,IF(Y47="Open Cluster",20,IF(Y47="Comet",20,IF(Y47="Planet",10,IF(Y47="Star",5,45)))))))))</f>
        <v>90</v>
      </c>
      <c r="AC47" t="s">
        <v>49</v>
      </c>
      <c r="AD47">
        <f>MAX(1,MIN(10,ROUND((IF(S47="",5,IF(S47&lt;3,2,IF(S47&lt;10,4,IF(S47&lt;=70,8,IF(S47&lt;=100,6,4))))))+IF(Y47="Emission Nebula",2,IF(Y47="Open Cluster",2,IF(Y47="Globular Cluster",2,IF(Y47="Reflection Nebula",1,IF(Y47="Planetary Nebula",1,IF(Y47="Comet",1,0))))))+IF(Z47="High (easy)",2,IF(Z47="Medium",1,IF(Z47="Low (hard)",-1,0)))+IF(AA47="High (OK with Moon)",2,IF(AA47="Medium",0,IF(AA47="Low (needs dark)",-2,0)))+IF(AC47="High (best &gt;50°)",1,IF(AC47="Medium",0,IF(AC47="Low (OK)",-1,0))),0)))</f>
        <v>4</v>
      </c>
      <c r="AE47" t="str">
        <f ca="1">IF(AND(CHOOSE(MONTH(TODAY()),G47,H47,I47,J47,K47,L47,M47,N47,O47,P47,Q47,R47)="✔",AD47&gt;=7,OR(V47&lt;&gt;"No",V47=""),OR(X47="No",X47="")),"⭐ PICK","")</f>
        <v/>
      </c>
      <c r="AI47">
        <v>3.7829999999999999</v>
      </c>
      <c r="AJ47">
        <v>24.117000000000001</v>
      </c>
      <c r="AK47" t="s">
        <v>17</v>
      </c>
      <c r="AL47" t="s">
        <v>61</v>
      </c>
      <c r="AM47" t="s">
        <v>44</v>
      </c>
      <c r="AN47" t="s">
        <v>145</v>
      </c>
      <c r="AO47">
        <v>81.099999999999994</v>
      </c>
    </row>
    <row r="48" spans="1:43" hidden="1" x14ac:dyDescent="0.3">
      <c r="A48" t="s">
        <v>40</v>
      </c>
      <c r="B48" t="s">
        <v>118</v>
      </c>
      <c r="C48" t="s">
        <v>119</v>
      </c>
      <c r="D48" t="s">
        <v>115</v>
      </c>
      <c r="E48" t="s">
        <v>44</v>
      </c>
      <c r="N48" t="s">
        <v>45</v>
      </c>
      <c r="O48" t="s">
        <v>45</v>
      </c>
      <c r="P48" t="s">
        <v>45</v>
      </c>
      <c r="Q48" t="s">
        <v>45</v>
      </c>
      <c r="X48" t="str">
        <f>IF(S48="", "", IF(S48&gt;78,"Yes","No"))</f>
        <v/>
      </c>
      <c r="AB48">
        <f>IF(Y48="Emission Nebula",90,IF(Y48="Reflection Nebula",75,IF(Y48="Planetary Nebula",60,IF(Y48="Galaxy",90,IF(Y48="Globular Cluster",30,IF(Y48="Open Cluster",20,IF(Y48="Comet",20,IF(Y48="Planet",10,IF(Y48="Star",5,45)))))))))</f>
        <v>45</v>
      </c>
      <c r="AD48">
        <f>MAX(1,MIN(10,ROUND((IF(S48="",5,IF(S48&lt;3,2,IF(S48&lt;10,4,IF(S48&lt;=70,8,IF(S48&lt;=100,6,4))))))+IF(Y48="Emission Nebula",2,IF(Y48="Open Cluster",2,IF(Y48="Globular Cluster",2,IF(Y48="Reflection Nebula",1,IF(Y48="Planetary Nebula",1,IF(Y48="Comet",1,0))))))+IF(Z48="High (easy)",2,IF(Z48="Medium",1,IF(Z48="Low (hard)",-1,0)))+IF(AA48="High (OK with Moon)",2,IF(AA48="Medium",0,IF(AA48="Low (needs dark)",-2,0)))+IF(AC48="High (best &gt;50°)",1,IF(AC48="Medium",0,IF(AC48="Low (OK)",-1,0))),0)))</f>
        <v>5</v>
      </c>
      <c r="AE48" t="str">
        <f ca="1">IF(AND(CHOOSE(MONTH(TODAY()),G48,H48,I48,J48,K48,L48,M48,N48,O48,P48,Q48,R48)="✔",AD48&gt;=7,OR(V48&lt;&gt;"No",V48=""),OR(X48="No",X48="")),"⭐ PICK","")</f>
        <v/>
      </c>
      <c r="AI48">
        <v>7.6829999999999998</v>
      </c>
      <c r="AJ48">
        <v>-14.81</v>
      </c>
      <c r="AK48" t="s">
        <v>7</v>
      </c>
      <c r="AL48" t="s">
        <v>51</v>
      </c>
      <c r="AM48" t="s">
        <v>44</v>
      </c>
      <c r="AN48" t="s">
        <v>147</v>
      </c>
      <c r="AO48">
        <v>42.2</v>
      </c>
    </row>
    <row r="49" spans="1:43" hidden="1" x14ac:dyDescent="0.3">
      <c r="A49" t="s">
        <v>40</v>
      </c>
      <c r="B49" t="s">
        <v>120</v>
      </c>
      <c r="C49" t="s">
        <v>121</v>
      </c>
      <c r="D49" t="s">
        <v>115</v>
      </c>
      <c r="E49" t="s">
        <v>44</v>
      </c>
      <c r="N49" t="s">
        <v>45</v>
      </c>
      <c r="O49" t="s">
        <v>45</v>
      </c>
      <c r="P49" t="s">
        <v>45</v>
      </c>
      <c r="Q49" t="s">
        <v>45</v>
      </c>
      <c r="S49">
        <v>10</v>
      </c>
      <c r="X49" t="str">
        <f>IF(S49="", "", IF(S49&gt;78,"Yes","No"))</f>
        <v>No</v>
      </c>
      <c r="Y49" t="s">
        <v>116</v>
      </c>
      <c r="Z49" t="s">
        <v>48</v>
      </c>
      <c r="AA49" t="s">
        <v>117</v>
      </c>
      <c r="AB49">
        <f>IF(Y49="Emission Nebula",90,IF(Y49="Reflection Nebula",75,IF(Y49="Planetary Nebula",60,IF(Y49="Galaxy",90,IF(Y49="Globular Cluster",30,IF(Y49="Open Cluster",20,IF(Y49="Comet",20,IF(Y49="Planet",10,IF(Y49="Star",5,45)))))))))</f>
        <v>90</v>
      </c>
      <c r="AC49" t="s">
        <v>49</v>
      </c>
      <c r="AD49">
        <f>MAX(1,MIN(10,ROUND((IF(S49="",5,IF(S49&lt;3,2,IF(S49&lt;10,4,IF(S49&lt;=70,8,IF(S49&lt;=100,6,4))))))+IF(Y49="Emission Nebula",2,IF(Y49="Open Cluster",2,IF(Y49="Globular Cluster",2,IF(Y49="Reflection Nebula",1,IF(Y49="Planetary Nebula",1,IF(Y49="Comet",1,0))))))+IF(Z49="High (easy)",2,IF(Z49="Medium",1,IF(Z49="Low (hard)",-1,0)))+IF(AA49="High (OK with Moon)",2,IF(AA49="Medium",0,IF(AA49="Low (needs dark)",-2,0)))+IF(AC49="High (best &gt;50°)",1,IF(AC49="Medium",0,IF(AC49="Low (OK)",-1,0))),0)))</f>
        <v>8</v>
      </c>
      <c r="AE49" t="str">
        <f ca="1">IF(AND(CHOOSE(MONTH(TODAY()),G49,H49,I49,J49,K49,L49,M49,N49,O49,P49,Q49,R49)="✔",AD49&gt;=7,OR(V49&lt;&gt;"No",V49=""),OR(X49="No",X49="")),"⭐ PICK","")</f>
        <v/>
      </c>
      <c r="AI49">
        <v>7.6</v>
      </c>
      <c r="AJ49">
        <v>-14.483000000000001</v>
      </c>
      <c r="AK49" t="s">
        <v>7</v>
      </c>
      <c r="AL49" t="s">
        <v>51</v>
      </c>
      <c r="AM49" t="s">
        <v>44</v>
      </c>
      <c r="AN49" t="s">
        <v>147</v>
      </c>
      <c r="AO49">
        <v>42.5</v>
      </c>
    </row>
    <row r="50" spans="1:43" hidden="1" x14ac:dyDescent="0.3">
      <c r="A50" t="s">
        <v>40</v>
      </c>
      <c r="B50" t="s">
        <v>122</v>
      </c>
      <c r="C50" t="s">
        <v>70</v>
      </c>
      <c r="D50" t="s">
        <v>123</v>
      </c>
      <c r="E50" t="s">
        <v>44</v>
      </c>
      <c r="P50" t="s">
        <v>45</v>
      </c>
      <c r="Q50" t="s">
        <v>45</v>
      </c>
      <c r="R50" t="s">
        <v>45</v>
      </c>
      <c r="S50">
        <v>20</v>
      </c>
      <c r="X50" t="str">
        <f>IF(S50="", "", IF(S50&gt;78,"Yes","No"))</f>
        <v>No</v>
      </c>
      <c r="Y50" t="s">
        <v>70</v>
      </c>
      <c r="Z50" t="s">
        <v>47</v>
      </c>
      <c r="AA50" t="s">
        <v>56</v>
      </c>
      <c r="AB50">
        <f>IF(Y50="Emission Nebula",90,IF(Y50="Reflection Nebula",75,IF(Y50="Planetary Nebula",60,IF(Y50="Galaxy",90,IF(Y50="Globular Cluster",30,IF(Y50="Open Cluster",20,IF(Y50="Comet",20,IF(Y50="Planet",10,IF(Y50="Star",5,45)))))))))</f>
        <v>20</v>
      </c>
      <c r="AC50" t="s">
        <v>71</v>
      </c>
      <c r="AD50">
        <f>MAX(1,MIN(10,ROUND((IF(S50="",5,IF(S50&lt;3,2,IF(S50&lt;10,4,IF(S50&lt;=70,8,IF(S50&lt;=100,6,4))))))+IF(Y50="Emission Nebula",2,IF(Y50="Open Cluster",2,IF(Y50="Globular Cluster",2,IF(Y50="Reflection Nebula",1,IF(Y50="Planetary Nebula",1,IF(Y50="Comet",1,0))))))+IF(Z50="High (easy)",2,IF(Z50="Medium",1,IF(Z50="Low (hard)",-1,0)))+IF(AA50="High (OK with Moon)",2,IF(AA50="Medium",0,IF(AA50="Low (needs dark)",-2,0)))+IF(AC50="High (best &gt;50°)",1,IF(AC50="Medium",0,IF(AC50="Low (OK)",-1,0))),0)))</f>
        <v>10</v>
      </c>
      <c r="AE50" t="str">
        <f ca="1">IF(AND(CHOOSE(MONTH(TODAY()),G50,H50,I50,J50,K50,L50,M50,N50,O50,P50,Q50,R50)="✔",AD50&gt;=7,OR(V50&lt;&gt;"No",V50=""),OR(X50="No",X50="")),"⭐ PICK","")</f>
        <v/>
      </c>
      <c r="AI50">
        <v>8.2170000000000005</v>
      </c>
      <c r="AJ50">
        <v>-5.75</v>
      </c>
      <c r="AK50" t="s">
        <v>7</v>
      </c>
      <c r="AL50" t="s">
        <v>77</v>
      </c>
      <c r="AM50" t="s">
        <v>44</v>
      </c>
      <c r="AN50" t="s">
        <v>150</v>
      </c>
      <c r="AO50">
        <v>51.2</v>
      </c>
    </row>
    <row r="51" spans="1:43" hidden="1" x14ac:dyDescent="0.3">
      <c r="A51" t="s">
        <v>40</v>
      </c>
      <c r="B51" t="s">
        <v>124</v>
      </c>
      <c r="C51" t="s">
        <v>70</v>
      </c>
      <c r="D51" t="s">
        <v>125</v>
      </c>
      <c r="E51" t="s">
        <v>44</v>
      </c>
      <c r="G51" t="s">
        <v>45</v>
      </c>
      <c r="H51" t="s">
        <v>45</v>
      </c>
      <c r="R51" t="s">
        <v>45</v>
      </c>
      <c r="S51">
        <v>20</v>
      </c>
      <c r="X51" t="str">
        <f>IF(S51="", "", IF(S51&gt;78,"Yes","No"))</f>
        <v>No</v>
      </c>
      <c r="Y51" t="s">
        <v>70</v>
      </c>
      <c r="Z51" t="s">
        <v>47</v>
      </c>
      <c r="AA51" t="s">
        <v>56</v>
      </c>
      <c r="AB51">
        <f>IF(Y51="Emission Nebula",90,IF(Y51="Reflection Nebula",75,IF(Y51="Planetary Nebula",60,IF(Y51="Galaxy",90,IF(Y51="Globular Cluster",30,IF(Y51="Open Cluster",20,IF(Y51="Comet",20,IF(Y51="Planet",10,IF(Y51="Star",5,45)))))))))</f>
        <v>20</v>
      </c>
      <c r="AC51" t="s">
        <v>71</v>
      </c>
      <c r="AD51">
        <f>MAX(1,MIN(10,ROUND((IF(S51="",5,IF(S51&lt;3,2,IF(S51&lt;10,4,IF(S51&lt;=70,8,IF(S51&lt;=100,6,4))))))+IF(Y51="Emission Nebula",2,IF(Y51="Open Cluster",2,IF(Y51="Globular Cluster",2,IF(Y51="Reflection Nebula",1,IF(Y51="Planetary Nebula",1,IF(Y51="Comet",1,0))))))+IF(Z51="High (easy)",2,IF(Z51="Medium",1,IF(Z51="Low (hard)",-1,0)))+IF(AA51="High (OK with Moon)",2,IF(AA51="Medium",0,IF(AA51="Low (needs dark)",-2,0)))+IF(AC51="High (best &gt;50°)",1,IF(AC51="Medium",0,IF(AC51="Low (OK)",-1,0))),0)))</f>
        <v>10</v>
      </c>
      <c r="AE51" t="str">
        <f ca="1">IF(AND(CHOOSE(MONTH(TODAY()),G51,H51,I51,J51,K51,L51,M51,N51,O51,P51,Q51,R51)="✔",AD51&gt;=7,OR(V51&lt;&gt;"No",V51=""),OR(X51="No",X51="")),"⭐ PICK","")</f>
        <v/>
      </c>
      <c r="AI51">
        <v>12.483000000000001</v>
      </c>
      <c r="AJ51">
        <v>8</v>
      </c>
      <c r="AK51" t="s">
        <v>9</v>
      </c>
      <c r="AL51" t="s">
        <v>52</v>
      </c>
      <c r="AM51" t="s">
        <v>44</v>
      </c>
      <c r="AN51" t="s">
        <v>62</v>
      </c>
      <c r="AO51">
        <v>46.9</v>
      </c>
    </row>
    <row r="52" spans="1:43" hidden="1" x14ac:dyDescent="0.3">
      <c r="A52" t="s">
        <v>40</v>
      </c>
      <c r="B52" t="s">
        <v>126</v>
      </c>
      <c r="C52" t="s">
        <v>70</v>
      </c>
      <c r="D52" t="s">
        <v>125</v>
      </c>
      <c r="E52" t="s">
        <v>44</v>
      </c>
      <c r="G52" t="s">
        <v>45</v>
      </c>
      <c r="H52" t="s">
        <v>45</v>
      </c>
      <c r="R52" t="s">
        <v>45</v>
      </c>
      <c r="S52">
        <v>20</v>
      </c>
      <c r="X52" t="str">
        <f>IF(S52="", "", IF(S52&gt;78,"Yes","No"))</f>
        <v>No</v>
      </c>
      <c r="Y52" t="s">
        <v>70</v>
      </c>
      <c r="Z52" t="s">
        <v>47</v>
      </c>
      <c r="AA52" t="s">
        <v>56</v>
      </c>
      <c r="AB52">
        <f>IF(Y52="Emission Nebula",90,IF(Y52="Reflection Nebula",75,IF(Y52="Planetary Nebula",60,IF(Y52="Galaxy",90,IF(Y52="Globular Cluster",30,IF(Y52="Open Cluster",20,IF(Y52="Comet",20,IF(Y52="Planet",10,IF(Y52="Star",5,45)))))))))</f>
        <v>20</v>
      </c>
      <c r="AC52" t="s">
        <v>71</v>
      </c>
      <c r="AD52">
        <f>MAX(1,MIN(10,ROUND((IF(S52="",5,IF(S52&lt;3,2,IF(S52&lt;10,4,IF(S52&lt;=70,8,IF(S52&lt;=100,6,4))))))+IF(Y52="Emission Nebula",2,IF(Y52="Open Cluster",2,IF(Y52="Globular Cluster",2,IF(Y52="Reflection Nebula",1,IF(Y52="Planetary Nebula",1,IF(Y52="Comet",1,0))))))+IF(Z52="High (easy)",2,IF(Z52="Medium",1,IF(Z52="Low (hard)",-1,0)))+IF(AA52="High (OK with Moon)",2,IF(AA52="Medium",0,IF(AA52="Low (needs dark)",-2,0)))+IF(AC52="High (best &gt;50°)",1,IF(AC52="Medium",0,IF(AC52="Low (OK)",-1,0))),0)))</f>
        <v>10</v>
      </c>
      <c r="AE52" t="str">
        <f ca="1">IF(AND(CHOOSE(MONTH(TODAY()),G52,H52,I52,J52,K52,L52,M52,N52,O52,P52,Q52,R52)="✔",AD52&gt;=7,OR(V52&lt;&gt;"No",V52=""),OR(X52="No",X52="")),"⭐ PICK","")</f>
        <v/>
      </c>
      <c r="AI52">
        <v>7.0330000000000004</v>
      </c>
      <c r="AJ52">
        <v>-8.3330000000000002</v>
      </c>
      <c r="AK52" t="s">
        <v>7</v>
      </c>
      <c r="AL52" t="s">
        <v>154</v>
      </c>
      <c r="AM52" t="s">
        <v>44</v>
      </c>
      <c r="AN52" t="s">
        <v>155</v>
      </c>
      <c r="AO52">
        <v>48.7</v>
      </c>
    </row>
    <row r="53" spans="1:43" hidden="1" x14ac:dyDescent="0.3">
      <c r="A53" t="s">
        <v>40</v>
      </c>
      <c r="B53" t="s">
        <v>127</v>
      </c>
      <c r="C53" t="s">
        <v>70</v>
      </c>
      <c r="D53" t="s">
        <v>125</v>
      </c>
      <c r="E53" t="s">
        <v>44</v>
      </c>
      <c r="G53" t="s">
        <v>45</v>
      </c>
      <c r="H53" t="s">
        <v>45</v>
      </c>
      <c r="R53" t="s">
        <v>45</v>
      </c>
      <c r="S53">
        <v>20</v>
      </c>
      <c r="X53" t="str">
        <f>IF(S53="", "", IF(S53&gt;78,"Yes","No"))</f>
        <v>No</v>
      </c>
      <c r="Y53" t="s">
        <v>70</v>
      </c>
      <c r="Z53" t="s">
        <v>47</v>
      </c>
      <c r="AA53" t="s">
        <v>56</v>
      </c>
      <c r="AB53">
        <f>IF(Y53="Emission Nebula",90,IF(Y53="Reflection Nebula",75,IF(Y53="Planetary Nebula",60,IF(Y53="Galaxy",90,IF(Y53="Globular Cluster",30,IF(Y53="Open Cluster",20,IF(Y53="Comet",20,IF(Y53="Planet",10,IF(Y53="Star",5,45)))))))))</f>
        <v>20</v>
      </c>
      <c r="AC53" t="s">
        <v>71</v>
      </c>
      <c r="AD53">
        <f>MAX(1,MIN(10,ROUND((IF(S53="",5,IF(S53&lt;3,2,IF(S53&lt;10,4,IF(S53&lt;=70,8,IF(S53&lt;=100,6,4))))))+IF(Y53="Emission Nebula",2,IF(Y53="Open Cluster",2,IF(Y53="Globular Cluster",2,IF(Y53="Reflection Nebula",1,IF(Y53="Planetary Nebula",1,IF(Y53="Comet",1,0))))))+IF(Z53="High (easy)",2,IF(Z53="Medium",1,IF(Z53="Low (hard)",-1,0)))+IF(AA53="High (OK with Moon)",2,IF(AA53="Medium",0,IF(AA53="Low (needs dark)",-2,0)))+IF(AC53="High (best &gt;50°)",1,IF(AC53="Medium",0,IF(AC53="Low (OK)",-1,0))),0)))</f>
        <v>10</v>
      </c>
      <c r="AE53" t="str">
        <f ca="1">IF(AND(CHOOSE(MONTH(TODAY()),G53,H53,I53,J53,K53,L53,M53,N53,O53,P53,Q53,R53)="✔",AD53&gt;=7,OR(V53&lt;&gt;"No",V53=""),OR(X53="No",X53="")),"⭐ PICK","")</f>
        <v/>
      </c>
      <c r="AI53">
        <v>13.483000000000001</v>
      </c>
      <c r="AJ53">
        <v>47.183</v>
      </c>
      <c r="AK53" t="s">
        <v>10</v>
      </c>
      <c r="AL53" t="s">
        <v>51</v>
      </c>
      <c r="AM53" t="s">
        <v>44</v>
      </c>
      <c r="AN53" t="s">
        <v>62</v>
      </c>
      <c r="AO53">
        <v>47.9</v>
      </c>
    </row>
    <row r="54" spans="1:43" hidden="1" x14ac:dyDescent="0.3">
      <c r="A54" t="s">
        <v>40</v>
      </c>
      <c r="B54" t="s">
        <v>128</v>
      </c>
      <c r="C54" t="s">
        <v>70</v>
      </c>
      <c r="D54" t="s">
        <v>125</v>
      </c>
      <c r="E54" t="s">
        <v>44</v>
      </c>
      <c r="G54" t="s">
        <v>45</v>
      </c>
      <c r="H54" t="s">
        <v>45</v>
      </c>
      <c r="R54" t="s">
        <v>45</v>
      </c>
      <c r="S54">
        <v>20</v>
      </c>
      <c r="X54" t="str">
        <f>IF(S54="", "", IF(S54&gt;78,"Yes","No"))</f>
        <v>No</v>
      </c>
      <c r="Y54" t="s">
        <v>70</v>
      </c>
      <c r="Z54" t="s">
        <v>47</v>
      </c>
      <c r="AA54" t="s">
        <v>56</v>
      </c>
      <c r="AB54">
        <f>IF(Y54="Emission Nebula",90,IF(Y54="Reflection Nebula",75,IF(Y54="Planetary Nebula",60,IF(Y54="Galaxy",90,IF(Y54="Globular Cluster",30,IF(Y54="Open Cluster",20,IF(Y54="Comet",20,IF(Y54="Planet",10,IF(Y54="Star",5,45)))))))))</f>
        <v>20</v>
      </c>
      <c r="AC54" t="s">
        <v>71</v>
      </c>
      <c r="AD54">
        <f>MAX(1,MIN(10,ROUND((IF(S54="",5,IF(S54&lt;3,2,IF(S54&lt;10,4,IF(S54&lt;=70,8,IF(S54&lt;=100,6,4))))))+IF(Y54="Emission Nebula",2,IF(Y54="Open Cluster",2,IF(Y54="Globular Cluster",2,IF(Y54="Reflection Nebula",1,IF(Y54="Planetary Nebula",1,IF(Y54="Comet",1,0))))))+IF(Z54="High (easy)",2,IF(Z54="Medium",1,IF(Z54="Low (hard)",-1,0)))+IF(AA54="High (OK with Moon)",2,IF(AA54="Medium",0,IF(AA54="Low (needs dark)",-2,0)))+IF(AC54="High (best &gt;50°)",1,IF(AC54="Medium",0,IF(AC54="Low (OK)",-1,0))),0)))</f>
        <v>10</v>
      </c>
      <c r="AE54" t="str">
        <f ca="1">IF(AND(CHOOSE(MONTH(TODAY()),G54,H54,I54,J54,K54,L54,M54,N54,O54,P54,Q54,R54)="✔",AD54&gt;=7,OR(V54&lt;&gt;"No",V54=""),OR(X54="No",X54="")),"⭐ PICK","")</f>
        <v/>
      </c>
      <c r="AI54">
        <v>23.4</v>
      </c>
      <c r="AJ54">
        <v>61.593000000000004</v>
      </c>
      <c r="AK54" t="s">
        <v>15</v>
      </c>
      <c r="AL54" t="s">
        <v>66</v>
      </c>
      <c r="AM54" t="s">
        <v>44</v>
      </c>
      <c r="AN54" t="s">
        <v>58</v>
      </c>
      <c r="AO54">
        <v>52.5</v>
      </c>
    </row>
    <row r="55" spans="1:43" x14ac:dyDescent="0.3">
      <c r="A55" t="s">
        <v>40</v>
      </c>
      <c r="B55" t="s">
        <v>101</v>
      </c>
      <c r="C55" t="s">
        <v>70</v>
      </c>
      <c r="D55" t="s">
        <v>76</v>
      </c>
      <c r="E55" t="s">
        <v>57</v>
      </c>
      <c r="L55" t="s">
        <v>45</v>
      </c>
      <c r="M55" t="s">
        <v>45</v>
      </c>
      <c r="N55" t="s">
        <v>45</v>
      </c>
      <c r="S55">
        <v>20</v>
      </c>
      <c r="X55" t="str">
        <f>IF(S55="", "", IF(S55&gt;78,"Yes","No"))</f>
        <v>No</v>
      </c>
      <c r="Y55" t="s">
        <v>70</v>
      </c>
      <c r="Z55" t="s">
        <v>47</v>
      </c>
      <c r="AA55" t="s">
        <v>56</v>
      </c>
      <c r="AB55">
        <f>IF(Y55="Emission Nebula",90,IF(Y55="Reflection Nebula",75,IF(Y55="Planetary Nebula",60,IF(Y55="Galaxy",90,IF(Y55="Globular Cluster",30,IF(Y55="Open Cluster",20,IF(Y55="Comet",20,IF(Y55="Planet",10,IF(Y55="Star",5,45)))))))))</f>
        <v>20</v>
      </c>
      <c r="AC55" t="s">
        <v>71</v>
      </c>
      <c r="AD55">
        <f>MAX(1,MIN(10,ROUND((IF(S55="",5,IF(S55&lt;3,2,IF(S55&lt;10,4,IF(S55&lt;=70,8,IF(S55&lt;=100,6,4))))))+IF(Y55="Emission Nebula",2,IF(Y55="Open Cluster",2,IF(Y55="Globular Cluster",2,IF(Y55="Reflection Nebula",1,IF(Y55="Planetary Nebula",1,IF(Y55="Comet",1,0))))))+IF(Z55="High (easy)",2,IF(Z55="Medium",1,IF(Z55="Low (hard)",-1,0)))+IF(AA55="High (OK with Moon)",2,IF(AA55="Medium",0,IF(AA55="Low (needs dark)",-2,0)))+IF(AC55="High (best &gt;50°)",1,IF(AC55="Medium",0,IF(AC55="Low (OK)",-1,0))),0)))</f>
        <v>10</v>
      </c>
      <c r="AE55" t="str">
        <f ca="1">IF(AND(CHOOSE(MONTH(TODAY()),G55,H55,I55,J55,K55,L55,M55,N55,O55,P55,Q55,R55)="✔",AD55&gt;=7,AM55="Yes",AO55&gt;=50,OR(X55="No",X55=""),OR(E55="No",V55="Yes")),"⭐ PICK","")</f>
        <v/>
      </c>
      <c r="AI55">
        <v>5.6</v>
      </c>
      <c r="AJ55">
        <v>34.14</v>
      </c>
      <c r="AK55" t="s">
        <v>6</v>
      </c>
      <c r="AL55" s="5">
        <f ca="1">IFERROR(MOD((AI55-(MOD(18.697374558+24.065709824419*(TODAY()-DATE(2000,1,1)+0.5)+$AZ$1/15,24)))/1.00273790935,24)/24,"")</f>
        <v>0.99770782391550561</v>
      </c>
      <c r="AM55" t="str">
        <f>IF(AO55&gt;=20,"Yes","No")</f>
        <v>Yes</v>
      </c>
      <c r="AN55" s="7" t="str">
        <f ca="1">IF(AM55="Yes",TEXT(AL55,"h:mm AM/PM"),"")</f>
        <v>11:56 PM</v>
      </c>
      <c r="AO55">
        <v>88.9</v>
      </c>
      <c r="AP55">
        <f>ROUND(MAX(0,MIN(10,(AO55-20)/6)),1)</f>
        <v>10</v>
      </c>
      <c r="AQ55" t="str">
        <f ca="1">IF(AE55="⭐ PICK","PICK at "&amp;AN55,"")</f>
        <v/>
      </c>
    </row>
    <row r="56" spans="1:43" hidden="1" x14ac:dyDescent="0.3">
      <c r="A56" t="s">
        <v>40</v>
      </c>
      <c r="B56" t="s">
        <v>63</v>
      </c>
      <c r="C56" t="s">
        <v>54</v>
      </c>
      <c r="D56" t="s">
        <v>60</v>
      </c>
      <c r="E56" t="s">
        <v>44</v>
      </c>
      <c r="K56" t="s">
        <v>45</v>
      </c>
      <c r="L56" t="s">
        <v>45</v>
      </c>
      <c r="M56" t="s">
        <v>45</v>
      </c>
      <c r="S56">
        <v>10</v>
      </c>
      <c r="X56" t="str">
        <f>IF(S56="", "", IF(S56&gt;78,"Yes","No"))</f>
        <v>No</v>
      </c>
      <c r="Y56" t="s">
        <v>54</v>
      </c>
      <c r="Z56" t="s">
        <v>47</v>
      </c>
      <c r="AA56" t="s">
        <v>56</v>
      </c>
      <c r="AB56">
        <f>IF(Y56="Emission Nebula",90,IF(Y56="Reflection Nebula",75,IF(Y56="Planetary Nebula",60,IF(Y56="Galaxy",90,IF(Y56="Globular Cluster",30,IF(Y56="Open Cluster",20,IF(Y56="Comet",20,IF(Y56="Planet",10,IF(Y56="Star",5,45)))))))))</f>
        <v>30</v>
      </c>
      <c r="AC56" t="s">
        <v>48</v>
      </c>
      <c r="AD56">
        <f>MAX(1,MIN(10,ROUND((IF(S56="",5,IF(S56&lt;3,2,IF(S56&lt;10,4,IF(S56&lt;=70,8,IF(S56&lt;=100,6,4))))))+IF(Y56="Emission Nebula",2,IF(Y56="Open Cluster",2,IF(Y56="Globular Cluster",2,IF(Y56="Reflection Nebula",1,IF(Y56="Planetary Nebula",1,IF(Y56="Comet",1,0))))))+IF(Z56="High (easy)",2,IF(Z56="Medium",1,IF(Z56="Low (hard)",-1,0)))+IF(AA56="High (OK with Moon)",2,IF(AA56="Medium",0,IF(AA56="Low (needs dark)",-2,0)))+IF(AC56="High (best &gt;50°)",1,IF(AC56="Medium",0,IF(AC56="Low (OK)",-1,0))),0)))</f>
        <v>10</v>
      </c>
      <c r="AE56" t="str">
        <f ca="1">IF(AND(CHOOSE(MONTH(TODAY()),G56,H56,I56,J56,K56,L56,M56,N56,O56,P56,Q56,R56)="✔",AD56&gt;=7,OR(V56&lt;&gt;"No",V56=""),OR(X56="No",X56="")),"⭐ PICK","")</f>
        <v/>
      </c>
      <c r="AI56">
        <v>18.917000000000002</v>
      </c>
      <c r="AJ56">
        <v>-30.466999999999999</v>
      </c>
      <c r="AK56" t="s">
        <v>13</v>
      </c>
      <c r="AL56" t="s">
        <v>154</v>
      </c>
      <c r="AM56" t="s">
        <v>57</v>
      </c>
      <c r="AN56" t="s">
        <v>58</v>
      </c>
      <c r="AO56">
        <v>-27.7</v>
      </c>
    </row>
    <row r="57" spans="1:43" hidden="1" x14ac:dyDescent="0.3">
      <c r="A57" t="s">
        <v>40</v>
      </c>
      <c r="B57" t="s">
        <v>130</v>
      </c>
      <c r="C57" t="s">
        <v>131</v>
      </c>
      <c r="D57" t="s">
        <v>132</v>
      </c>
      <c r="E57" t="s">
        <v>44</v>
      </c>
      <c r="G57" t="s">
        <v>45</v>
      </c>
      <c r="H57" t="s">
        <v>45</v>
      </c>
      <c r="I57" t="s">
        <v>45</v>
      </c>
      <c r="J57" t="s">
        <v>45</v>
      </c>
      <c r="K57" t="s">
        <v>45</v>
      </c>
      <c r="L57" t="s">
        <v>45</v>
      </c>
      <c r="M57" t="s">
        <v>45</v>
      </c>
      <c r="N57" t="s">
        <v>45</v>
      </c>
      <c r="O57" t="s">
        <v>45</v>
      </c>
      <c r="P57" t="s">
        <v>45</v>
      </c>
      <c r="Q57" t="s">
        <v>45</v>
      </c>
      <c r="R57" t="s">
        <v>45</v>
      </c>
      <c r="X57" t="str">
        <f>IF(S57="", "", IF(S57&gt;78,"Yes","No"))</f>
        <v/>
      </c>
      <c r="AB57">
        <f>IF(Y57="Emission Nebula",90,IF(Y57="Reflection Nebula",75,IF(Y57="Planetary Nebula",60,IF(Y57="Galaxy",90,IF(Y57="Globular Cluster",30,IF(Y57="Open Cluster",20,IF(Y57="Comet",20,IF(Y57="Planet",10,IF(Y57="Star",5,45)))))))))</f>
        <v>45</v>
      </c>
      <c r="AD57">
        <f>MAX(1,MIN(10,ROUND((IF(S57="",5,IF(S57&lt;3,2,IF(S57&lt;10,4,IF(S57&lt;=70,8,IF(S57&lt;=100,6,4))))))+IF(Y57="Emission Nebula",2,IF(Y57="Open Cluster",2,IF(Y57="Globular Cluster",2,IF(Y57="Reflection Nebula",1,IF(Y57="Planetary Nebula",1,IF(Y57="Comet",1,0))))))+IF(Z57="High (easy)",2,IF(Z57="Medium",1,IF(Z57="Low (hard)",-1,0)))+IF(AA57="High (OK with Moon)",2,IF(AA57="Medium",0,IF(AA57="Low (needs dark)",-2,0)))+IF(AC57="High (best &gt;50°)",1,IF(AC57="Medium",0,IF(AC57="Low (OK)",-1,0))),0)))</f>
        <v>5</v>
      </c>
      <c r="AE57" t="str">
        <f ca="1">IF(AND(CHOOSE(MONTH(TODAY()),G57,H57,I57,J57,K57,L57,M57,N57,O57,P57,Q57,R57)="✔",AD57&gt;=7,OR(V57&lt;&gt;"No",V57=""),OR(X57="No",X57="")),"⭐ PICK","")</f>
        <v/>
      </c>
      <c r="AI57">
        <v>19.649999999999999</v>
      </c>
      <c r="AJ57">
        <v>-30.95</v>
      </c>
      <c r="AK57" t="s">
        <v>13</v>
      </c>
      <c r="AL57" t="s">
        <v>61</v>
      </c>
      <c r="AM57" t="s">
        <v>57</v>
      </c>
      <c r="AN57" t="s">
        <v>58</v>
      </c>
      <c r="AO57">
        <v>-19.399999999999999</v>
      </c>
    </row>
    <row r="58" spans="1:43" hidden="1" x14ac:dyDescent="0.3">
      <c r="A58" t="s">
        <v>40</v>
      </c>
      <c r="B58" t="s">
        <v>133</v>
      </c>
      <c r="C58" t="s">
        <v>70</v>
      </c>
      <c r="D58" t="s">
        <v>125</v>
      </c>
      <c r="E58" t="s">
        <v>44</v>
      </c>
      <c r="G58" t="s">
        <v>45</v>
      </c>
      <c r="H58" t="s">
        <v>45</v>
      </c>
      <c r="R58" t="s">
        <v>45</v>
      </c>
      <c r="S58">
        <v>20</v>
      </c>
      <c r="X58" t="str">
        <f>IF(S58="", "", IF(S58&gt;78,"Yes","No"))</f>
        <v>No</v>
      </c>
      <c r="Y58" t="s">
        <v>70</v>
      </c>
      <c r="Z58" t="s">
        <v>47</v>
      </c>
      <c r="AA58" t="s">
        <v>56</v>
      </c>
      <c r="AB58">
        <f>IF(Y58="Emission Nebula",90,IF(Y58="Reflection Nebula",75,IF(Y58="Planetary Nebula",60,IF(Y58="Galaxy",90,IF(Y58="Globular Cluster",30,IF(Y58="Open Cluster",20,IF(Y58="Comet",20,IF(Y58="Planet",10,IF(Y58="Star",5,45)))))))))</f>
        <v>20</v>
      </c>
      <c r="AC58" t="s">
        <v>71</v>
      </c>
      <c r="AD58">
        <f>MAX(1,MIN(10,ROUND((IF(S58="",5,IF(S58&lt;3,2,IF(S58&lt;10,4,IF(S58&lt;=70,8,IF(S58&lt;=100,6,4))))))+IF(Y58="Emission Nebula",2,IF(Y58="Open Cluster",2,IF(Y58="Globular Cluster",2,IF(Y58="Reflection Nebula",1,IF(Y58="Planetary Nebula",1,IF(Y58="Comet",1,0))))))+IF(Z58="High (easy)",2,IF(Z58="Medium",1,IF(Z58="Low (hard)",-1,0)))+IF(AA58="High (OK with Moon)",2,IF(AA58="Medium",0,IF(AA58="Low (needs dark)",-2,0)))+IF(AC58="High (best &gt;50°)",1,IF(AC58="Medium",0,IF(AC58="Low (OK)",-1,0))),0)))</f>
        <v>10</v>
      </c>
      <c r="AE58" t="str">
        <f ca="1">IF(AND(CHOOSE(MONTH(TODAY()),G58,H58,I58,J58,K58,L58,M58,N58,O58,P58,Q58,R58)="✔",AD58&gt;=7,OR(V58&lt;&gt;"No",V58=""),OR(X58="No",X58="")),"⭐ PICK","")</f>
        <v/>
      </c>
      <c r="AI58">
        <v>19.266999999999999</v>
      </c>
      <c r="AJ58">
        <v>30.183</v>
      </c>
      <c r="AK58" t="s">
        <v>13</v>
      </c>
      <c r="AL58" t="s">
        <v>161</v>
      </c>
      <c r="AM58" t="s">
        <v>57</v>
      </c>
      <c r="AN58" t="s">
        <v>58</v>
      </c>
      <c r="AO58">
        <v>8.6</v>
      </c>
    </row>
    <row r="59" spans="1:43" hidden="1" x14ac:dyDescent="0.3">
      <c r="A59" t="s">
        <v>40</v>
      </c>
      <c r="B59" t="s">
        <v>134</v>
      </c>
      <c r="C59" t="s">
        <v>135</v>
      </c>
      <c r="D59" t="s">
        <v>136</v>
      </c>
      <c r="E59" t="s">
        <v>44</v>
      </c>
      <c r="G59" t="s">
        <v>45</v>
      </c>
      <c r="H59" t="s">
        <v>45</v>
      </c>
      <c r="I59" t="s">
        <v>45</v>
      </c>
      <c r="R59" t="s">
        <v>45</v>
      </c>
      <c r="S59">
        <v>85</v>
      </c>
      <c r="W59">
        <v>4</v>
      </c>
      <c r="X59" t="str">
        <f>IF(S59="", "", IF(S59&gt;78,"Yes","No"))</f>
        <v>Yes</v>
      </c>
      <c r="Y59" t="s">
        <v>46</v>
      </c>
      <c r="Z59" t="s">
        <v>47</v>
      </c>
      <c r="AA59" t="s">
        <v>48</v>
      </c>
      <c r="AB59">
        <f>IF(Y59="Emission Nebula",90,IF(Y59="Reflection Nebula",75,IF(Y59="Planetary Nebula",60,IF(Y59="Galaxy",90,IF(Y59="Globular Cluster",30,IF(Y59="Open Cluster",20,IF(Y59="Comet",20,IF(Y59="Planet",10,IF(Y59="Star",5,45)))))))))</f>
        <v>90</v>
      </c>
      <c r="AC59" t="s">
        <v>49</v>
      </c>
      <c r="AD59">
        <f>MAX(1,MIN(10,ROUND((IF(S59="",5,IF(S59&lt;3,2,IF(S59&lt;10,4,IF(S59&lt;=70,8,IF(S59&lt;=100,6,4))))))+IF(Y59="Emission Nebula",2,IF(Y59="Open Cluster",2,IF(Y59="Globular Cluster",2,IF(Y59="Reflection Nebula",1,IF(Y59="Planetary Nebula",1,IF(Y59="Comet",1,0))))))+IF(Z59="High (easy)",2,IF(Z59="Medium",1,IF(Z59="Low (hard)",-1,0)))+IF(AA59="High (OK with Moon)",2,IF(AA59="Medium",0,IF(AA59="Low (needs dark)",-2,0)))+IF(AC59="High (best &gt;50°)",1,IF(AC59="Medium",0,IF(AC59="Low (OK)",-1,0))),0)))</f>
        <v>10</v>
      </c>
      <c r="AE59" t="str">
        <f ca="1">IF(AND(CHOOSE(MONTH(TODAY()),G59,H59,I59,J59,K59,L59,M59,N59,O59,P59,Q59,R59)="✔",AD59&gt;=7,OR(V59&lt;&gt;"No",V59=""),OR(X59="No",X59="")),"⭐ PICK","")</f>
        <v/>
      </c>
      <c r="AI59">
        <v>18.882999999999999</v>
      </c>
      <c r="AJ59">
        <v>33.017000000000003</v>
      </c>
      <c r="AK59" t="s">
        <v>12</v>
      </c>
      <c r="AL59" t="s">
        <v>83</v>
      </c>
      <c r="AM59" t="s">
        <v>57</v>
      </c>
      <c r="AN59" t="s">
        <v>58</v>
      </c>
      <c r="AO59">
        <v>6.1</v>
      </c>
    </row>
    <row r="60" spans="1:43" hidden="1" x14ac:dyDescent="0.3">
      <c r="A60" t="s">
        <v>40</v>
      </c>
      <c r="B60" t="s">
        <v>137</v>
      </c>
      <c r="C60" t="s">
        <v>138</v>
      </c>
      <c r="D60" t="s">
        <v>136</v>
      </c>
      <c r="E60" t="s">
        <v>44</v>
      </c>
      <c r="G60" t="s">
        <v>45</v>
      </c>
      <c r="H60" t="s">
        <v>45</v>
      </c>
      <c r="I60" t="s">
        <v>45</v>
      </c>
      <c r="R60" t="s">
        <v>45</v>
      </c>
      <c r="S60">
        <v>60</v>
      </c>
      <c r="T60">
        <v>20</v>
      </c>
      <c r="V60" t="s">
        <v>383</v>
      </c>
      <c r="X60" t="str">
        <f>IF(S60="", "", IF(S60&gt;78,"Yes","No"))</f>
        <v>No</v>
      </c>
      <c r="Y60" t="s">
        <v>46</v>
      </c>
      <c r="Z60" t="s">
        <v>47</v>
      </c>
      <c r="AA60" t="s">
        <v>48</v>
      </c>
      <c r="AB60">
        <f>IF(Y60="Emission Nebula",90,IF(Y60="Reflection Nebula",75,IF(Y60="Planetary Nebula",60,IF(Y60="Galaxy",90,IF(Y60="Globular Cluster",30,IF(Y60="Open Cluster",20,IF(Y60="Comet",20,IF(Y60="Planet",10,IF(Y60="Star",5,45)))))))))</f>
        <v>90</v>
      </c>
      <c r="AC60" t="s">
        <v>49</v>
      </c>
      <c r="AD60">
        <f>MAX(1,MIN(10,ROUND((IF(S60="",5,IF(S60&lt;3,2,IF(S60&lt;10,4,IF(S60&lt;=70,8,IF(S60&lt;=100,6,4))))))+IF(Y60="Emission Nebula",2,IF(Y60="Open Cluster",2,IF(Y60="Globular Cluster",2,IF(Y60="Reflection Nebula",1,IF(Y60="Planetary Nebula",1,IF(Y60="Comet",1,0))))))+IF(Z60="High (easy)",2,IF(Z60="Medium",1,IF(Z60="Low (hard)",-1,0)))+IF(AA60="High (OK with Moon)",2,IF(AA60="Medium",0,IF(AA60="Low (needs dark)",-2,0)))+IF(AC60="High (best &gt;50°)",1,IF(AC60="Medium",0,IF(AC60="Low (OK)",-1,0))),0)))</f>
        <v>10</v>
      </c>
      <c r="AE60" t="str">
        <f ca="1">IF(AND(CHOOSE(MONTH(TODAY()),G60,H60,I60,J60,K60,L60,M60,N60,O60,P60,Q60,R60)="✔",AD60&gt;=7,OR(V60&lt;&gt;"No",V60=""),OR(X60="No",X60="")),"⭐ PICK","")</f>
        <v>⭐ PICK</v>
      </c>
      <c r="AI60">
        <v>12.617000000000001</v>
      </c>
      <c r="AJ60">
        <v>11.817</v>
      </c>
      <c r="AK60" t="s">
        <v>9</v>
      </c>
      <c r="AL60" t="s">
        <v>87</v>
      </c>
      <c r="AM60" t="s">
        <v>44</v>
      </c>
      <c r="AN60" t="s">
        <v>62</v>
      </c>
      <c r="AO60">
        <v>47.7</v>
      </c>
    </row>
    <row r="61" spans="1:43" hidden="1" x14ac:dyDescent="0.3">
      <c r="A61" t="s">
        <v>40</v>
      </c>
      <c r="B61" t="s">
        <v>139</v>
      </c>
      <c r="C61" t="s">
        <v>140</v>
      </c>
      <c r="D61" t="s">
        <v>141</v>
      </c>
      <c r="E61" t="s">
        <v>44</v>
      </c>
      <c r="H61" t="s">
        <v>45</v>
      </c>
      <c r="I61" t="s">
        <v>45</v>
      </c>
      <c r="J61" t="s">
        <v>45</v>
      </c>
      <c r="S61">
        <v>20</v>
      </c>
      <c r="X61" t="str">
        <f>IF(S61="", "", IF(S61&gt;78,"Yes","No"))</f>
        <v>No</v>
      </c>
      <c r="Y61" t="s">
        <v>70</v>
      </c>
      <c r="Z61" t="s">
        <v>47</v>
      </c>
      <c r="AA61" t="s">
        <v>56</v>
      </c>
      <c r="AB61">
        <f>IF(Y61="Emission Nebula",90,IF(Y61="Reflection Nebula",75,IF(Y61="Planetary Nebula",60,IF(Y61="Galaxy",90,IF(Y61="Globular Cluster",30,IF(Y61="Open Cluster",20,IF(Y61="Comet",20,IF(Y61="Planet",10,IF(Y61="Star",5,45)))))))))</f>
        <v>20</v>
      </c>
      <c r="AC61" t="s">
        <v>71</v>
      </c>
      <c r="AD61">
        <f>MAX(1,MIN(10,ROUND((IF(S61="",5,IF(S61&lt;3,2,IF(S61&lt;10,4,IF(S61&lt;=70,8,IF(S61&lt;=100,6,4))))))+IF(Y61="Emission Nebula",2,IF(Y61="Open Cluster",2,IF(Y61="Globular Cluster",2,IF(Y61="Reflection Nebula",1,IF(Y61="Planetary Nebula",1,IF(Y61="Comet",1,0))))))+IF(Z61="High (easy)",2,IF(Z61="Medium",1,IF(Z61="Low (hard)",-1,0)))+IF(AA61="High (OK with Moon)",2,IF(AA61="Medium",0,IF(AA61="Low (needs dark)",-2,0)))+IF(AC61="High (best &gt;50°)",1,IF(AC61="Medium",0,IF(AC61="Low (OK)",-1,0))),0)))</f>
        <v>10</v>
      </c>
      <c r="AE61" t="str">
        <f ca="1">IF(AND(CHOOSE(MONTH(TODAY()),G61,H61,I61,J61,K61,L61,M61,N61,O61,P61,Q61,R61)="✔",AD61&gt;=7,OR(V61&lt;&gt;"No",V61=""),OR(X61="No",X61="")),"⭐ PICK","")</f>
        <v>⭐ PICK</v>
      </c>
      <c r="AI61">
        <v>12.7</v>
      </c>
      <c r="AJ61">
        <v>11.632999999999999</v>
      </c>
      <c r="AK61" t="s">
        <v>9</v>
      </c>
      <c r="AL61" t="s">
        <v>87</v>
      </c>
      <c r="AM61" t="s">
        <v>44</v>
      </c>
      <c r="AN61" t="s">
        <v>62</v>
      </c>
      <c r="AO61">
        <v>46.7</v>
      </c>
    </row>
    <row r="62" spans="1:43" hidden="1" x14ac:dyDescent="0.3">
      <c r="A62" t="s">
        <v>40</v>
      </c>
      <c r="B62" t="s">
        <v>142</v>
      </c>
      <c r="C62" t="s">
        <v>143</v>
      </c>
      <c r="D62" t="s">
        <v>144</v>
      </c>
      <c r="E62" t="s">
        <v>44</v>
      </c>
      <c r="G62" t="s">
        <v>45</v>
      </c>
      <c r="H62" t="s">
        <v>45</v>
      </c>
      <c r="Q62" t="s">
        <v>45</v>
      </c>
      <c r="R62" t="s">
        <v>45</v>
      </c>
      <c r="S62">
        <v>110</v>
      </c>
      <c r="W62">
        <v>3</v>
      </c>
      <c r="X62" t="str">
        <f>IF(S62="", "", IF(S62&gt;78,"Yes","No"))</f>
        <v>Yes</v>
      </c>
      <c r="AB62">
        <f>IF(Y62="Emission Nebula",90,IF(Y62="Reflection Nebula",75,IF(Y62="Planetary Nebula",60,IF(Y62="Galaxy",90,IF(Y62="Globular Cluster",30,IF(Y62="Open Cluster",20,IF(Y62="Comet",20,IF(Y62="Planet",10,IF(Y62="Star",5,45)))))))))</f>
        <v>45</v>
      </c>
      <c r="AD62">
        <f>MAX(1,MIN(10,ROUND((IF(S62="",5,IF(S62&lt;3,2,IF(S62&lt;10,4,IF(S62&lt;=70,8,IF(S62&lt;=100,6,4))))))+IF(Y62="Emission Nebula",2,IF(Y62="Open Cluster",2,IF(Y62="Globular Cluster",2,IF(Y62="Reflection Nebula",1,IF(Y62="Planetary Nebula",1,IF(Y62="Comet",1,0))))))+IF(Z62="High (easy)",2,IF(Z62="Medium",1,IF(Z62="Low (hard)",-1,0)))+IF(AA62="High (OK with Moon)",2,IF(AA62="Medium",0,IF(AA62="Low (needs dark)",-2,0)))+IF(AC62="High (best &gt;50°)",1,IF(AC62="Medium",0,IF(AC62="Low (OK)",-1,0))),0)))</f>
        <v>4</v>
      </c>
      <c r="AE62" t="str">
        <f ca="1">IF(AND(CHOOSE(MONTH(TODAY()),G62,H62,I62,J62,K62,L62,M62,N62,O62,P62,Q62,R62)="✔",AD62&gt;=7,OR(V62&lt;&gt;"No",V62=""),OR(X62="No",X62="")),"⭐ PICK","")</f>
        <v/>
      </c>
      <c r="AI62">
        <v>12.717000000000001</v>
      </c>
      <c r="AJ62">
        <v>11.55</v>
      </c>
      <c r="AK62" t="s">
        <v>9</v>
      </c>
      <c r="AL62" t="s">
        <v>87</v>
      </c>
      <c r="AM62" t="s">
        <v>44</v>
      </c>
      <c r="AN62" t="s">
        <v>62</v>
      </c>
      <c r="AO62">
        <v>46.4</v>
      </c>
    </row>
    <row r="63" spans="1:43" hidden="1" x14ac:dyDescent="0.3">
      <c r="A63" t="s">
        <v>40</v>
      </c>
      <c r="B63" t="s">
        <v>146</v>
      </c>
      <c r="C63" t="s">
        <v>70</v>
      </c>
      <c r="D63" t="s">
        <v>43</v>
      </c>
      <c r="E63" t="s">
        <v>44</v>
      </c>
      <c r="G63" t="s">
        <v>45</v>
      </c>
      <c r="H63" t="s">
        <v>45</v>
      </c>
      <c r="I63" t="s">
        <v>45</v>
      </c>
      <c r="S63">
        <v>20</v>
      </c>
      <c r="X63" t="str">
        <f>IF(S63="", "", IF(S63&gt;78,"Yes","No"))</f>
        <v>No</v>
      </c>
      <c r="Y63" t="s">
        <v>70</v>
      </c>
      <c r="Z63" t="s">
        <v>47</v>
      </c>
      <c r="AA63" t="s">
        <v>56</v>
      </c>
      <c r="AB63">
        <f>IF(Y63="Emission Nebula",90,IF(Y63="Reflection Nebula",75,IF(Y63="Planetary Nebula",60,IF(Y63="Galaxy",90,IF(Y63="Globular Cluster",30,IF(Y63="Open Cluster",20,IF(Y63="Comet",20,IF(Y63="Planet",10,IF(Y63="Star",5,45)))))))))</f>
        <v>20</v>
      </c>
      <c r="AC63" t="s">
        <v>71</v>
      </c>
      <c r="AD63">
        <f>MAX(1,MIN(10,ROUND((IF(S63="",5,IF(S63&lt;3,2,IF(S63&lt;10,4,IF(S63&lt;=70,8,IF(S63&lt;=100,6,4))))))+IF(Y63="Emission Nebula",2,IF(Y63="Open Cluster",2,IF(Y63="Globular Cluster",2,IF(Y63="Reflection Nebula",1,IF(Y63="Planetary Nebula",1,IF(Y63="Comet",1,0))))))+IF(Z63="High (easy)",2,IF(Z63="Medium",1,IF(Z63="Low (hard)",-1,0)))+IF(AA63="High (OK with Moon)",2,IF(AA63="Medium",0,IF(AA63="Low (needs dark)",-2,0)))+IF(AC63="High (best &gt;50°)",1,IF(AC63="Medium",0,IF(AC63="Low (OK)",-1,0))),0)))</f>
        <v>10</v>
      </c>
      <c r="AE63" t="str">
        <f ca="1">IF(AND(CHOOSE(MONTH(TODAY()),G63,H63,I63,J63,K63,L63,M63,N63,O63,P63,Q63,R63)="✔",AD63&gt;=7,OR(V63&lt;&gt;"No",V63=""),OR(X63="No",X63="")),"⭐ PICK","")</f>
        <v>⭐ PICK</v>
      </c>
      <c r="AI63">
        <v>12.35</v>
      </c>
      <c r="AJ63">
        <v>4.4669999999999996</v>
      </c>
      <c r="AK63" t="s">
        <v>9</v>
      </c>
      <c r="AL63" t="s">
        <v>64</v>
      </c>
      <c r="AM63" t="s">
        <v>44</v>
      </c>
      <c r="AN63" t="s">
        <v>62</v>
      </c>
      <c r="AO63">
        <v>45.9</v>
      </c>
    </row>
    <row r="64" spans="1:43" hidden="1" x14ac:dyDescent="0.3">
      <c r="A64" t="s">
        <v>40</v>
      </c>
      <c r="B64" t="s">
        <v>148</v>
      </c>
      <c r="C64" t="s">
        <v>70</v>
      </c>
      <c r="D64" t="s">
        <v>43</v>
      </c>
      <c r="E64" t="s">
        <v>44</v>
      </c>
      <c r="G64" t="s">
        <v>45</v>
      </c>
      <c r="H64" t="s">
        <v>45</v>
      </c>
      <c r="I64" t="s">
        <v>45</v>
      </c>
      <c r="S64">
        <v>20</v>
      </c>
      <c r="X64" t="str">
        <f>IF(S64="", "", IF(S64&gt;78,"Yes","No"))</f>
        <v>No</v>
      </c>
      <c r="Y64" t="s">
        <v>70</v>
      </c>
      <c r="Z64" t="s">
        <v>47</v>
      </c>
      <c r="AA64" t="s">
        <v>56</v>
      </c>
      <c r="AB64">
        <f>IF(Y64="Emission Nebula",90,IF(Y64="Reflection Nebula",75,IF(Y64="Planetary Nebula",60,IF(Y64="Galaxy",90,IF(Y64="Globular Cluster",30,IF(Y64="Open Cluster",20,IF(Y64="Comet",20,IF(Y64="Planet",10,IF(Y64="Star",5,45)))))))))</f>
        <v>20</v>
      </c>
      <c r="AC64" t="s">
        <v>71</v>
      </c>
      <c r="AD64">
        <f>MAX(1,MIN(10,ROUND((IF(S64="",5,IF(S64&lt;3,2,IF(S64&lt;10,4,IF(S64&lt;=70,8,IF(S64&lt;=100,6,4))))))+IF(Y64="Emission Nebula",2,IF(Y64="Open Cluster",2,IF(Y64="Globular Cluster",2,IF(Y64="Reflection Nebula",1,IF(Y64="Planetary Nebula",1,IF(Y64="Comet",1,0))))))+IF(Z64="High (easy)",2,IF(Z64="Medium",1,IF(Z64="Low (hard)",-1,0)))+IF(AA64="High (OK with Moon)",2,IF(AA64="Medium",0,IF(AA64="Low (needs dark)",-2,0)))+IF(AC64="High (best &gt;50°)",1,IF(AC64="Medium",0,IF(AC64="Low (OK)",-1,0))),0)))</f>
        <v>10</v>
      </c>
      <c r="AE64" t="str">
        <f ca="1">IF(AND(CHOOSE(MONTH(TODAY()),G64,H64,I64,J64,K64,L64,M64,N64,O64,P64,Q64,R64)="✔",AD64&gt;=7,OR(V64&lt;&gt;"No",V64=""),OR(X64="No",X64="")),"⭐ PICK","")</f>
        <v>⭐ PICK</v>
      </c>
      <c r="AI64">
        <v>17.016999999999999</v>
      </c>
      <c r="AJ64">
        <v>-30.1</v>
      </c>
      <c r="AK64" t="s">
        <v>12</v>
      </c>
      <c r="AL64" t="s">
        <v>80</v>
      </c>
      <c r="AM64" t="s">
        <v>57</v>
      </c>
      <c r="AN64" t="s">
        <v>62</v>
      </c>
      <c r="AO64">
        <v>-28.3</v>
      </c>
    </row>
    <row r="65" spans="1:43" hidden="1" x14ac:dyDescent="0.3">
      <c r="A65" t="s">
        <v>40</v>
      </c>
      <c r="B65" t="s">
        <v>149</v>
      </c>
      <c r="C65" t="s">
        <v>70</v>
      </c>
      <c r="D65" t="s">
        <v>141</v>
      </c>
      <c r="E65" t="s">
        <v>44</v>
      </c>
      <c r="H65" t="s">
        <v>45</v>
      </c>
      <c r="I65" t="s">
        <v>45</v>
      </c>
      <c r="J65" t="s">
        <v>45</v>
      </c>
      <c r="S65">
        <v>20</v>
      </c>
      <c r="X65" t="str">
        <f>IF(S65="", "", IF(S65&gt;78,"Yes","No"))</f>
        <v>No</v>
      </c>
      <c r="Y65" t="s">
        <v>70</v>
      </c>
      <c r="Z65" t="s">
        <v>47</v>
      </c>
      <c r="AA65" t="s">
        <v>56</v>
      </c>
      <c r="AB65">
        <f>IF(Y65="Emission Nebula",90,IF(Y65="Reflection Nebula",75,IF(Y65="Planetary Nebula",60,IF(Y65="Galaxy",90,IF(Y65="Globular Cluster",30,IF(Y65="Open Cluster",20,IF(Y65="Comet",20,IF(Y65="Planet",10,IF(Y65="Star",5,45)))))))))</f>
        <v>20</v>
      </c>
      <c r="AC65" t="s">
        <v>71</v>
      </c>
      <c r="AD65">
        <f>MAX(1,MIN(10,ROUND((IF(S65="",5,IF(S65&lt;3,2,IF(S65&lt;10,4,IF(S65&lt;=70,8,IF(S65&lt;=100,6,4))))))+IF(Y65="Emission Nebula",2,IF(Y65="Open Cluster",2,IF(Y65="Globular Cluster",2,IF(Y65="Reflection Nebula",1,IF(Y65="Planetary Nebula",1,IF(Y65="Comet",1,0))))))+IF(Z65="High (easy)",2,IF(Z65="Medium",1,IF(Z65="Low (hard)",-1,0)))+IF(AA65="High (OK with Moon)",2,IF(AA65="Medium",0,IF(AA65="Low (needs dark)",-2,0)))+IF(AC65="High (best &gt;50°)",1,IF(AC65="Medium",0,IF(AC65="Low (OK)",-1,0))),0)))</f>
        <v>10</v>
      </c>
      <c r="AE65" t="str">
        <f ca="1">IF(AND(CHOOSE(MONTH(TODAY()),G65,H65,I65,J65,K65,L65,M65,N65,O65,P65,Q65,R65)="✔",AD65&gt;=7,OR(V65&lt;&gt;"No",V65=""),OR(X65="No",X65="")),"⭐ PICK","")</f>
        <v>⭐ PICK</v>
      </c>
      <c r="AI65">
        <v>13.25</v>
      </c>
      <c r="AJ65">
        <v>42.017000000000003</v>
      </c>
      <c r="AK65" t="s">
        <v>10</v>
      </c>
      <c r="AL65" t="s">
        <v>66</v>
      </c>
      <c r="AM65" t="s">
        <v>44</v>
      </c>
      <c r="AN65" t="s">
        <v>62</v>
      </c>
      <c r="AO65">
        <v>50.3</v>
      </c>
    </row>
    <row r="66" spans="1:43" x14ac:dyDescent="0.3">
      <c r="A66" t="s">
        <v>40</v>
      </c>
      <c r="B66" t="s">
        <v>102</v>
      </c>
      <c r="C66" t="s">
        <v>103</v>
      </c>
      <c r="D66" t="s">
        <v>76</v>
      </c>
      <c r="E66" t="s">
        <v>57</v>
      </c>
      <c r="L66" t="s">
        <v>45</v>
      </c>
      <c r="M66" t="s">
        <v>45</v>
      </c>
      <c r="N66" t="s">
        <v>45</v>
      </c>
      <c r="S66">
        <v>30</v>
      </c>
      <c r="X66" t="str">
        <f>IF(S66="", "", IF(S66&gt;78,"Yes","No"))</f>
        <v>No</v>
      </c>
      <c r="Y66" t="s">
        <v>104</v>
      </c>
      <c r="Z66" t="s">
        <v>47</v>
      </c>
      <c r="AA66" t="s">
        <v>56</v>
      </c>
      <c r="AB66">
        <f>IF(Y66="Emission Nebula",90,IF(Y66="Reflection Nebula",75,IF(Y66="Planetary Nebula",60,IF(Y66="Galaxy",90,IF(Y66="Globular Cluster",30,IF(Y66="Open Cluster",20,IF(Y66="Comet",20,IF(Y66="Planet",10,IF(Y66="Star",5,45)))))))))</f>
        <v>45</v>
      </c>
      <c r="AC66" t="s">
        <v>71</v>
      </c>
      <c r="AD66">
        <f>MAX(1,MIN(10,ROUND((IF(S66="",5,IF(S66&lt;3,2,IF(S66&lt;10,4,IF(S66&lt;=70,8,IF(S66&lt;=100,6,4))))))+IF(Y66="Emission Nebula",2,IF(Y66="Open Cluster",2,IF(Y66="Globular Cluster",2,IF(Y66="Reflection Nebula",1,IF(Y66="Planetary Nebula",1,IF(Y66="Comet",1,0))))))+IF(Z66="High (easy)",2,IF(Z66="Medium",1,IF(Z66="Low (hard)",-1,0)))+IF(AA66="High (OK with Moon)",2,IF(AA66="Medium",0,IF(AA66="Low (needs dark)",-2,0)))+IF(AC66="High (best &gt;50°)",1,IF(AC66="Medium",0,IF(AC66="Low (OK)",-1,0))),0)))</f>
        <v>10</v>
      </c>
      <c r="AE66" t="str">
        <f ca="1">IF(AND(CHOOSE(MONTH(TODAY()),G66,H66,I66,J66,K66,L66,M66,N66,O66,P66,Q66,R66)="✔",AD66&gt;=7,AM66="Yes",AO66&gt;=50,OR(X66="No",X66=""),OR(E66="No",V66="Yes")),"⭐ PICK","")</f>
        <v/>
      </c>
      <c r="AI66">
        <v>5.867</v>
      </c>
      <c r="AJ66">
        <v>32.552999999999997</v>
      </c>
      <c r="AK66" t="s">
        <v>6</v>
      </c>
      <c r="AL66" s="5">
        <f ca="1">IFERROR(MOD((AI66-(MOD(18.697374558+24.065709824419*(TODAY()-DATE(2000,1,1)+0.5)+$AZ$1/15,24)))/1.00273790935,24)/24,"")</f>
        <v>8.8024478409254748E-3</v>
      </c>
      <c r="AM66" t="str">
        <f>IF(AO66&gt;=20,"Yes","No")</f>
        <v>Yes</v>
      </c>
      <c r="AN66" s="7" t="str">
        <f ca="1">IF(AM66="Yes",TEXT(AL66,"h:mm AM/PM"),"")</f>
        <v>12:12 AM</v>
      </c>
      <c r="AO66">
        <v>89</v>
      </c>
      <c r="AP66">
        <f>ROUND(MAX(0,MIN(10,(AO66-20)/6)),1)</f>
        <v>10</v>
      </c>
      <c r="AQ66" t="str">
        <f ca="1">IF(AE66="⭐ PICK","PICK at "&amp;AN66,"")</f>
        <v/>
      </c>
    </row>
    <row r="67" spans="1:43" hidden="1" x14ac:dyDescent="0.3">
      <c r="A67" t="s">
        <v>40</v>
      </c>
      <c r="B67" t="s">
        <v>65</v>
      </c>
      <c r="C67" t="s">
        <v>54</v>
      </c>
      <c r="D67" t="s">
        <v>60</v>
      </c>
      <c r="E67" t="s">
        <v>44</v>
      </c>
      <c r="K67" t="s">
        <v>45</v>
      </c>
      <c r="L67" t="s">
        <v>45</v>
      </c>
      <c r="M67" t="s">
        <v>45</v>
      </c>
      <c r="S67">
        <v>10</v>
      </c>
      <c r="X67" t="str">
        <f>IF(S67="", "", IF(S67&gt;78,"Yes","No"))</f>
        <v>No</v>
      </c>
      <c r="Y67" t="s">
        <v>54</v>
      </c>
      <c r="Z67" t="s">
        <v>47</v>
      </c>
      <c r="AA67" t="s">
        <v>56</v>
      </c>
      <c r="AB67">
        <f>IF(Y67="Emission Nebula",90,IF(Y67="Reflection Nebula",75,IF(Y67="Planetary Nebula",60,IF(Y67="Galaxy",90,IF(Y67="Globular Cluster",30,IF(Y67="Open Cluster",20,IF(Y67="Comet",20,IF(Y67="Planet",10,IF(Y67="Star",5,45)))))))))</f>
        <v>30</v>
      </c>
      <c r="AC67" t="s">
        <v>48</v>
      </c>
      <c r="AD67">
        <f>MAX(1,MIN(10,ROUND((IF(S67="",5,IF(S67&lt;3,2,IF(S67&lt;10,4,IF(S67&lt;=70,8,IF(S67&lt;=100,6,4))))))+IF(Y67="Emission Nebula",2,IF(Y67="Open Cluster",2,IF(Y67="Globular Cluster",2,IF(Y67="Reflection Nebula",1,IF(Y67="Planetary Nebula",1,IF(Y67="Comet",1,0))))))+IF(Z67="High (easy)",2,IF(Z67="Medium",1,IF(Z67="Low (hard)",-1,0)))+IF(AA67="High (OK with Moon)",2,IF(AA67="Medium",0,IF(AA67="Low (needs dark)",-2,0)))+IF(AC67="High (best &gt;50°)",1,IF(AC67="Medium",0,IF(AC67="Low (OK)",-1,0))),0)))</f>
        <v>10</v>
      </c>
      <c r="AE67" t="str">
        <f ca="1">IF(AND(CHOOSE(MONTH(TODAY()),G67,H67,I67,J67,K67,L67,M67,N67,O67,P67,Q67,R67)="✔",AD67&gt;=7,OR(V67&lt;&gt;"No",V67=""),OR(X67="No",X67="")),"⭐ PICK","")</f>
        <v/>
      </c>
      <c r="AI67">
        <v>11.3</v>
      </c>
      <c r="AJ67">
        <v>13.083</v>
      </c>
      <c r="AK67" t="s">
        <v>9</v>
      </c>
      <c r="AL67" t="s">
        <v>66</v>
      </c>
      <c r="AM67" t="s">
        <v>44</v>
      </c>
      <c r="AN67" t="s">
        <v>62</v>
      </c>
      <c r="AO67">
        <v>62.8</v>
      </c>
    </row>
    <row r="68" spans="1:43" hidden="1" x14ac:dyDescent="0.3">
      <c r="A68" t="s">
        <v>40</v>
      </c>
      <c r="B68" t="s">
        <v>153</v>
      </c>
      <c r="C68" t="s">
        <v>70</v>
      </c>
      <c r="D68" t="s">
        <v>125</v>
      </c>
      <c r="E68" t="s">
        <v>44</v>
      </c>
      <c r="G68" t="s">
        <v>45</v>
      </c>
      <c r="H68" t="s">
        <v>45</v>
      </c>
      <c r="R68" t="s">
        <v>45</v>
      </c>
      <c r="S68">
        <v>20</v>
      </c>
      <c r="X68" t="str">
        <f>IF(S68="", "", IF(S68&gt;78,"Yes","No"))</f>
        <v>No</v>
      </c>
      <c r="Y68" t="s">
        <v>70</v>
      </c>
      <c r="Z68" t="s">
        <v>47</v>
      </c>
      <c r="AA68" t="s">
        <v>56</v>
      </c>
      <c r="AB68">
        <f>IF(Y68="Emission Nebula",90,IF(Y68="Reflection Nebula",75,IF(Y68="Planetary Nebula",60,IF(Y68="Galaxy",90,IF(Y68="Globular Cluster",30,IF(Y68="Open Cluster",20,IF(Y68="Comet",20,IF(Y68="Planet",10,IF(Y68="Star",5,45)))))))))</f>
        <v>20</v>
      </c>
      <c r="AC68" t="s">
        <v>71</v>
      </c>
      <c r="AD68">
        <f>MAX(1,MIN(10,ROUND((IF(S68="",5,IF(S68&lt;3,2,IF(S68&lt;10,4,IF(S68&lt;=70,8,IF(S68&lt;=100,6,4))))))+IF(Y68="Emission Nebula",2,IF(Y68="Open Cluster",2,IF(Y68="Globular Cluster",2,IF(Y68="Reflection Nebula",1,IF(Y68="Planetary Nebula",1,IF(Y68="Comet",1,0))))))+IF(Z68="High (easy)",2,IF(Z68="Medium",1,IF(Z68="Low (hard)",-1,0)))+IF(AA68="High (OK with Moon)",2,IF(AA68="Medium",0,IF(AA68="Low (needs dark)",-2,0)))+IF(AC68="High (best &gt;50°)",1,IF(AC68="Medium",0,IF(AC68="Low (OK)",-1,0))),0)))</f>
        <v>10</v>
      </c>
      <c r="AE68" t="str">
        <f ca="1">IF(AND(CHOOSE(MONTH(TODAY()),G68,H68,I68,J68,K68,L68,M68,N68,O68,P68,Q68,R68)="✔",AD68&gt;=7,OR(V68&lt;&gt;"No",V68=""),OR(X68="No",X68="")),"⭐ PICK","")</f>
        <v/>
      </c>
      <c r="AI68">
        <v>11.333</v>
      </c>
      <c r="AJ68">
        <v>12.983000000000001</v>
      </c>
      <c r="AK68" t="s">
        <v>9</v>
      </c>
      <c r="AL68" t="s">
        <v>66</v>
      </c>
      <c r="AM68" t="s">
        <v>44</v>
      </c>
      <c r="AN68" t="s">
        <v>62</v>
      </c>
      <c r="AO68">
        <v>62.4</v>
      </c>
    </row>
    <row r="69" spans="1:43" hidden="1" x14ac:dyDescent="0.3">
      <c r="A69" t="s">
        <v>40</v>
      </c>
      <c r="B69" t="s">
        <v>156</v>
      </c>
      <c r="C69" t="s">
        <v>157</v>
      </c>
      <c r="D69" t="s">
        <v>158</v>
      </c>
      <c r="E69" t="s">
        <v>44</v>
      </c>
      <c r="J69" t="s">
        <v>45</v>
      </c>
      <c r="K69" t="s">
        <v>45</v>
      </c>
      <c r="L69" t="s">
        <v>45</v>
      </c>
      <c r="S69">
        <v>11</v>
      </c>
      <c r="W69">
        <v>5</v>
      </c>
      <c r="X69" t="str">
        <f>IF(S69="", "", IF(S69&gt;78,"Yes","No"))</f>
        <v>No</v>
      </c>
      <c r="Y69" t="s">
        <v>116</v>
      </c>
      <c r="Z69" t="s">
        <v>48</v>
      </c>
      <c r="AA69" t="s">
        <v>117</v>
      </c>
      <c r="AB69">
        <f>IF(Y69="Emission Nebula",90,IF(Y69="Reflection Nebula",75,IF(Y69="Planetary Nebula",60,IF(Y69="Galaxy",90,IF(Y69="Globular Cluster",30,IF(Y69="Open Cluster",20,IF(Y69="Comet",20,IF(Y69="Planet",10,IF(Y69="Star",5,45)))))))))</f>
        <v>90</v>
      </c>
      <c r="AC69" t="s">
        <v>49</v>
      </c>
      <c r="AD69">
        <f>MAX(1,MIN(10,ROUND((IF(S69="",5,IF(S69&lt;3,2,IF(S69&lt;10,4,IF(S69&lt;=70,8,IF(S69&lt;=100,6,4))))))+IF(Y69="Emission Nebula",2,IF(Y69="Open Cluster",2,IF(Y69="Globular Cluster",2,IF(Y69="Reflection Nebula",1,IF(Y69="Planetary Nebula",1,IF(Y69="Comet",1,0))))))+IF(Z69="High (easy)",2,IF(Z69="Medium",1,IF(Z69="Low (hard)",-1,0)))+IF(AA69="High (OK with Moon)",2,IF(AA69="Medium",0,IF(AA69="Low (needs dark)",-2,0)))+IF(AC69="High (best &gt;50°)",1,IF(AC69="Medium",0,IF(AC69="Low (OK)",-1,0))),0)))</f>
        <v>8</v>
      </c>
      <c r="AE69" t="str">
        <f ca="1">IF(AND(CHOOSE(MONTH(TODAY()),G69,H69,I69,J69,K69,L69,M69,N69,O69,P69,Q69,R69)="✔",AD69&gt;=7,OR(V69&lt;&gt;"No",V69=""),OR(X69="No",X69="")),"⭐ PICK","")</f>
        <v/>
      </c>
      <c r="AI69">
        <v>8.85</v>
      </c>
      <c r="AJ69">
        <v>11.8</v>
      </c>
      <c r="AK69" t="s">
        <v>7</v>
      </c>
      <c r="AL69" t="s">
        <v>87</v>
      </c>
      <c r="AM69" t="s">
        <v>44</v>
      </c>
      <c r="AN69" t="s">
        <v>182</v>
      </c>
      <c r="AO69">
        <v>68.8</v>
      </c>
    </row>
    <row r="70" spans="1:43" x14ac:dyDescent="0.3">
      <c r="A70" t="s">
        <v>40</v>
      </c>
      <c r="B70" t="s">
        <v>105</v>
      </c>
      <c r="C70" t="s">
        <v>70</v>
      </c>
      <c r="D70" t="s">
        <v>76</v>
      </c>
      <c r="E70" t="s">
        <v>57</v>
      </c>
      <c r="L70" t="s">
        <v>45</v>
      </c>
      <c r="M70" t="s">
        <v>45</v>
      </c>
      <c r="N70" t="s">
        <v>45</v>
      </c>
      <c r="S70">
        <v>20</v>
      </c>
      <c r="X70" t="str">
        <f>IF(S70="", "", IF(S70&gt;78,"Yes","No"))</f>
        <v>No</v>
      </c>
      <c r="Y70" t="s">
        <v>70</v>
      </c>
      <c r="Z70" t="s">
        <v>47</v>
      </c>
      <c r="AA70" t="s">
        <v>56</v>
      </c>
      <c r="AB70">
        <f>IF(Y70="Emission Nebula",90,IF(Y70="Reflection Nebula",75,IF(Y70="Planetary Nebula",60,IF(Y70="Galaxy",90,IF(Y70="Globular Cluster",30,IF(Y70="Open Cluster",20,IF(Y70="Comet",20,IF(Y70="Planet",10,IF(Y70="Star",5,45)))))))))</f>
        <v>20</v>
      </c>
      <c r="AC70" t="s">
        <v>71</v>
      </c>
      <c r="AD70">
        <f>MAX(1,MIN(10,ROUND((IF(S70="",5,IF(S70&lt;3,2,IF(S70&lt;10,4,IF(S70&lt;=70,8,IF(S70&lt;=100,6,4))))))+IF(Y70="Emission Nebula",2,IF(Y70="Open Cluster",2,IF(Y70="Globular Cluster",2,IF(Y70="Reflection Nebula",1,IF(Y70="Planetary Nebula",1,IF(Y70="Comet",1,0))))))+IF(Z70="High (easy)",2,IF(Z70="Medium",1,IF(Z70="Low (hard)",-1,0)))+IF(AA70="High (OK with Moon)",2,IF(AA70="Medium",0,IF(AA70="Low (needs dark)",-2,0)))+IF(AC70="High (best &gt;50°)",1,IF(AC70="Medium",0,IF(AC70="Low (OK)",-1,0))),0)))</f>
        <v>10</v>
      </c>
      <c r="AE70" t="str">
        <f ca="1">IF(AND(CHOOSE(MONTH(TODAY()),G70,H70,I70,J70,K70,L70,M70,N70,O70,P70,Q70,R70)="✔",AD70&gt;=7,AM70="Yes",AO70&gt;=50,OR(X70="No",X70=""),OR(E70="No",V70="Yes")),"⭐ PICK","")</f>
        <v/>
      </c>
      <c r="AI70">
        <v>5.4669999999999996</v>
      </c>
      <c r="AJ70">
        <v>35.854999999999997</v>
      </c>
      <c r="AK70" t="s">
        <v>6</v>
      </c>
      <c r="AL70" s="5">
        <f ca="1">IFERROR(MOD((AI70-(MOD(18.697374558+24.065709824419*(TODAY()-DATE(2000,1,1)+0.5)+$AZ$1/15,24)))/1.00273790935,24)/24,"")</f>
        <v>0.99218128840209419</v>
      </c>
      <c r="AM70" t="str">
        <f>IF(AO70&gt;=20,"Yes","No")</f>
        <v>Yes</v>
      </c>
      <c r="AN70" s="7" t="str">
        <f ca="1">IF(AM70="Yes",TEXT(AL70,"h:mm AM/PM"),"")</f>
        <v>11:48 PM</v>
      </c>
      <c r="AO70">
        <v>87.1</v>
      </c>
      <c r="AP70">
        <f>ROUND(MAX(0,MIN(10,(AO70-20)/6)),1)</f>
        <v>10</v>
      </c>
      <c r="AQ70" t="str">
        <f ca="1">IF(AE70="⭐ PICK","PICK at "&amp;AN70,"")</f>
        <v/>
      </c>
    </row>
    <row r="71" spans="1:43" x14ac:dyDescent="0.3">
      <c r="A71" t="s">
        <v>40</v>
      </c>
      <c r="B71" t="s">
        <v>106</v>
      </c>
      <c r="D71" t="s">
        <v>69</v>
      </c>
      <c r="E71" t="s">
        <v>57</v>
      </c>
      <c r="G71" t="s">
        <v>45</v>
      </c>
      <c r="H71" t="s">
        <v>45</v>
      </c>
      <c r="I71" t="s">
        <v>45</v>
      </c>
      <c r="J71" t="s">
        <v>45</v>
      </c>
      <c r="K71" t="s">
        <v>45</v>
      </c>
      <c r="L71" t="s">
        <v>45</v>
      </c>
      <c r="M71" t="s">
        <v>45</v>
      </c>
      <c r="N71" t="s">
        <v>45</v>
      </c>
      <c r="O71" t="s">
        <v>45</v>
      </c>
      <c r="P71" t="s">
        <v>45</v>
      </c>
      <c r="Q71" t="s">
        <v>45</v>
      </c>
      <c r="R71" t="s">
        <v>45</v>
      </c>
      <c r="X71" t="str">
        <f>IF(S71="", "", IF(S71&gt;78,"Yes","No"))</f>
        <v/>
      </c>
      <c r="AB71">
        <f>IF(Y71="Emission Nebula",90,IF(Y71="Reflection Nebula",75,IF(Y71="Planetary Nebula",60,IF(Y71="Galaxy",90,IF(Y71="Globular Cluster",30,IF(Y71="Open Cluster",20,IF(Y71="Comet",20,IF(Y71="Planet",10,IF(Y71="Star",5,45)))))))))</f>
        <v>45</v>
      </c>
      <c r="AD71">
        <f>MAX(1,MIN(10,ROUND((IF(S71="",5,IF(S71&lt;3,2,IF(S71&lt;10,4,IF(S71&lt;=70,8,IF(S71&lt;=100,6,4))))))+IF(Y71="Emission Nebula",2,IF(Y71="Open Cluster",2,IF(Y71="Globular Cluster",2,IF(Y71="Reflection Nebula",1,IF(Y71="Planetary Nebula",1,IF(Y71="Comet",1,0))))))+IF(Z71="High (easy)",2,IF(Z71="Medium",1,IF(Z71="Low (hard)",-1,0)))+IF(AA71="High (OK with Moon)",2,IF(AA71="Medium",0,IF(AA71="Low (needs dark)",-2,0)))+IF(AC71="High (best &gt;50°)",1,IF(AC71="Medium",0,IF(AC71="Low (OK)",-1,0))),0)))</f>
        <v>5</v>
      </c>
      <c r="AE71" t="str">
        <f ca="1">IF(AND(CHOOSE(MONTH(TODAY()),G71,H71,I71,J71,K71,L71,M71,N71,O71,P71,Q71,R71)="✔",AD71&gt;=7,AM71="Yes",AO71&gt;=50,OR(X71="No",X71=""),OR(E71="No",V71="Yes")),"⭐ PICK","")</f>
        <v/>
      </c>
      <c r="AI71">
        <v>21.516999999999999</v>
      </c>
      <c r="AJ71">
        <v>48.433</v>
      </c>
      <c r="AK71" t="s">
        <v>14</v>
      </c>
      <c r="AL71" s="5">
        <f ca="1">IFERROR(MOD((AI71-(MOD(18.697374558+24.065709824419*(TODAY()-DATE(2000,1,1)+0.5)+$AZ$1/15,24)))/1.00273790935,24)/24,"")</f>
        <v>0.65910531088519819</v>
      </c>
      <c r="AM71" t="str">
        <f>IF(AO71&gt;=20,"Yes","No")</f>
        <v>Yes</v>
      </c>
      <c r="AN71" s="7" t="str">
        <f ca="1">IF(AM71="Yes",TEXT(AL71,"h:mm AM/PM"),"")</f>
        <v>3:49 PM</v>
      </c>
      <c r="AO71">
        <v>39.200000000000003</v>
      </c>
      <c r="AP71">
        <f>ROUND(MAX(0,MIN(10,(AO71-20)/6)),1)</f>
        <v>3.2</v>
      </c>
      <c r="AQ71" t="str">
        <f ca="1">IF(AE71="⭐ PICK","PICK at "&amp;AN71,"")</f>
        <v/>
      </c>
    </row>
    <row r="72" spans="1:43" x14ac:dyDescent="0.3">
      <c r="A72" t="s">
        <v>40</v>
      </c>
      <c r="B72" t="s">
        <v>107</v>
      </c>
      <c r="C72" t="s">
        <v>108</v>
      </c>
      <c r="D72" t="s">
        <v>395</v>
      </c>
      <c r="I72" t="s">
        <v>45</v>
      </c>
      <c r="J72" t="s">
        <v>45</v>
      </c>
      <c r="K72" t="s">
        <v>45</v>
      </c>
      <c r="O72">
        <v>8</v>
      </c>
      <c r="P72">
        <v>45</v>
      </c>
      <c r="Q72" t="s">
        <v>414</v>
      </c>
      <c r="S72" t="s">
        <v>417</v>
      </c>
      <c r="T72" t="s">
        <v>167</v>
      </c>
      <c r="U72" t="s">
        <v>415</v>
      </c>
      <c r="V72" t="s">
        <v>48</v>
      </c>
      <c r="W72">
        <v>45</v>
      </c>
      <c r="X72" t="s">
        <v>416</v>
      </c>
      <c r="Y72">
        <v>9</v>
      </c>
      <c r="AC72">
        <v>19.989999999999998</v>
      </c>
      <c r="AD72">
        <v>22.72</v>
      </c>
      <c r="AE72" t="str">
        <f ca="1">IF(AND(CHOOSE(MONTH(TODAY()),G72,H72,I72,J72,K72,L72,M72,N72,O72,P72,Q72,R72)="✔",AD72&gt;=7,AM72="Yes",AO72&gt;=50,OR(X72="No",X72=""),OR(E72="No",V72="Yes")),"⭐ PICK","")</f>
        <v/>
      </c>
      <c r="AL72" s="5">
        <f ca="1">IFERROR(MOD((AI72-(MOD(18.697374558+24.065709824419*(TODAY()-DATE(2000,1,1)+0.5)+$AZ$1/15,24)))/1.00273790935,24)/24,"")</f>
        <v>0.76501159177186817</v>
      </c>
      <c r="AM72" t="str">
        <f>IF(AO72&gt;=20,"Yes","No")</f>
        <v>No</v>
      </c>
      <c r="AN72" s="7" t="str">
        <f>IF(AM72="Yes",TEXT(AL72,"h:mm AM/PM"),"")</f>
        <v/>
      </c>
      <c r="AP72">
        <f>ROUND(MAX(0,MIN(10,(AO72-20)/6)),1)</f>
        <v>0</v>
      </c>
      <c r="AQ72" t="str">
        <f ca="1">IF(AE72="⭐ PICK","PICK at "&amp;AN72,"")</f>
        <v/>
      </c>
    </row>
    <row r="73" spans="1:43" x14ac:dyDescent="0.3">
      <c r="A73" t="s">
        <v>40</v>
      </c>
      <c r="B73" t="s">
        <v>110</v>
      </c>
      <c r="D73" t="s">
        <v>69</v>
      </c>
      <c r="E73" t="s">
        <v>57</v>
      </c>
      <c r="G73" t="s">
        <v>45</v>
      </c>
      <c r="H73" t="s">
        <v>45</v>
      </c>
      <c r="I73" t="s">
        <v>45</v>
      </c>
      <c r="J73" t="s">
        <v>45</v>
      </c>
      <c r="K73" t="s">
        <v>45</v>
      </c>
      <c r="L73" t="s">
        <v>45</v>
      </c>
      <c r="M73" t="s">
        <v>45</v>
      </c>
      <c r="N73" t="s">
        <v>45</v>
      </c>
      <c r="O73" t="s">
        <v>45</v>
      </c>
      <c r="P73" t="s">
        <v>45</v>
      </c>
      <c r="Q73" t="s">
        <v>45</v>
      </c>
      <c r="R73" t="s">
        <v>45</v>
      </c>
      <c r="X73" t="str">
        <f>IF(S73="", "", IF(S73&gt;78,"Yes","No"))</f>
        <v/>
      </c>
      <c r="AB73">
        <f>IF(Y73="Emission Nebula",90,IF(Y73="Reflection Nebula",75,IF(Y73="Planetary Nebula",60,IF(Y73="Galaxy",90,IF(Y73="Globular Cluster",30,IF(Y73="Open Cluster",20,IF(Y73="Comet",20,IF(Y73="Planet",10,IF(Y73="Star",5,45)))))))))</f>
        <v>45</v>
      </c>
      <c r="AD73">
        <f>MAX(1,MIN(10,ROUND((IF(S73="",5,IF(S73&lt;3,2,IF(S73&lt;10,4,IF(S73&lt;=70,8,IF(S73&lt;=100,6,4))))))+IF(Y73="Emission Nebula",2,IF(Y73="Open Cluster",2,IF(Y73="Globular Cluster",2,IF(Y73="Reflection Nebula",1,IF(Y73="Planetary Nebula",1,IF(Y73="Comet",1,0))))))+IF(Z73="High (easy)",2,IF(Z73="Medium",1,IF(Z73="Low (hard)",-1,0)))+IF(AA73="High (OK with Moon)",2,IF(AA73="Medium",0,IF(AA73="Low (needs dark)",-2,0)))+IF(AC73="High (best &gt;50°)",1,IF(AC73="Medium",0,IF(AC73="Low (OK)",-1,0))),0)))</f>
        <v>5</v>
      </c>
      <c r="AE73" t="str">
        <f ca="1">IF(AND(CHOOSE(MONTH(TODAY()),G73,H73,I73,J73,K73,L73,M73,N73,O73,P73,Q73,R73)="✔",AD73&gt;=7,AM73="Yes",AO73&gt;=50,OR(X73="No",X73=""),OR(E73="No",V73="Yes")),"⭐ PICK","")</f>
        <v/>
      </c>
      <c r="AI73">
        <v>6.7670000000000003</v>
      </c>
      <c r="AJ73">
        <v>-20.757000000000001</v>
      </c>
      <c r="AK73" t="s">
        <v>6</v>
      </c>
      <c r="AL73" s="5">
        <f ca="1">IFERROR(MOD((AI73-(MOD(18.697374558+24.065709824419*(TODAY()-DATE(2000,1,1)+0.5)+$AZ$1/15,24)))/1.00273790935,24)/24,"")</f>
        <v>4.6200056578295796E-2</v>
      </c>
      <c r="AM73" t="str">
        <f>IF(AO73&gt;=20,"Yes","No")</f>
        <v>Yes</v>
      </c>
      <c r="AN73" s="7" t="str">
        <f ca="1">IF(AM73="Yes",TEXT(AL73,"h:mm AM/PM"),"")</f>
        <v>1:06 AM</v>
      </c>
      <c r="AO73">
        <v>36.200000000000003</v>
      </c>
      <c r="AP73">
        <f>ROUND(MAX(0,MIN(10,(AO73-20)/6)),1)</f>
        <v>2.7</v>
      </c>
      <c r="AQ73" t="str">
        <f ca="1">IF(AE73="⭐ PICK","PICK at "&amp;AN73,"")</f>
        <v/>
      </c>
    </row>
    <row r="74" spans="1:43" x14ac:dyDescent="0.3">
      <c r="A74" t="s">
        <v>40</v>
      </c>
      <c r="B74" t="s">
        <v>111</v>
      </c>
      <c r="D74" t="s">
        <v>69</v>
      </c>
      <c r="E74" t="s">
        <v>57</v>
      </c>
      <c r="G74" t="s">
        <v>45</v>
      </c>
      <c r="H74" t="s">
        <v>45</v>
      </c>
      <c r="I74" t="s">
        <v>45</v>
      </c>
      <c r="J74" t="s">
        <v>45</v>
      </c>
      <c r="K74" t="s">
        <v>45</v>
      </c>
      <c r="L74" t="s">
        <v>45</v>
      </c>
      <c r="M74" t="s">
        <v>45</v>
      </c>
      <c r="N74" t="s">
        <v>45</v>
      </c>
      <c r="O74" t="s">
        <v>45</v>
      </c>
      <c r="P74" t="s">
        <v>45</v>
      </c>
      <c r="Q74" t="s">
        <v>45</v>
      </c>
      <c r="R74" t="s">
        <v>45</v>
      </c>
      <c r="X74" t="str">
        <f>IF(S74="", "", IF(S74&gt;78,"Yes","No"))</f>
        <v/>
      </c>
      <c r="AB74">
        <f>IF(Y74="Emission Nebula",90,IF(Y74="Reflection Nebula",75,IF(Y74="Planetary Nebula",60,IF(Y74="Galaxy",90,IF(Y74="Globular Cluster",30,IF(Y74="Open Cluster",20,IF(Y74="Comet",20,IF(Y74="Planet",10,IF(Y74="Star",5,45)))))))))</f>
        <v>45</v>
      </c>
      <c r="AD74">
        <f>MAX(1,MIN(10,ROUND((IF(S74="",5,IF(S74&lt;3,2,IF(S74&lt;10,4,IF(S74&lt;=70,8,IF(S74&lt;=100,6,4))))))+IF(Y74="Emission Nebula",2,IF(Y74="Open Cluster",2,IF(Y74="Globular Cluster",2,IF(Y74="Reflection Nebula",1,IF(Y74="Planetary Nebula",1,IF(Y74="Comet",1,0))))))+IF(Z74="High (easy)",2,IF(Z74="Medium",1,IF(Z74="Low (hard)",-1,0)))+IF(AA74="High (OK with Moon)",2,IF(AA74="Medium",0,IF(AA74="Low (needs dark)",-2,0)))+IF(AC74="High (best &gt;50°)",1,IF(AC74="Medium",0,IF(AC74="Low (OK)",-1,0))),0)))</f>
        <v>5</v>
      </c>
      <c r="AE74" t="str">
        <f ca="1">IF(AND(CHOOSE(MONTH(TODAY()),G74,H74,I74,J74,K74,L74,M74,N74,O74,P74,Q74,R74)="✔",AD74&gt;=7,AM74="Yes",AO74&gt;=50,OR(X74="No",X74=""),OR(E74="No",V74="Yes")),"⭐ PICK","")</f>
        <v/>
      </c>
      <c r="AI74">
        <v>5.5830000000000002</v>
      </c>
      <c r="AJ74">
        <v>-5.383</v>
      </c>
      <c r="AK74" t="s">
        <v>6</v>
      </c>
      <c r="AL74" s="5">
        <f ca="1">IFERROR(MOD((AI74-(MOD(18.697374558+24.065709824419*(TODAY()-DATE(2000,1,1)+0.5)+$AZ$1/15,24)))/1.00273790935,24)/24,"")</f>
        <v>0.99700142463935526</v>
      </c>
      <c r="AM74" t="str">
        <f>IF(AO74&gt;=20,"Yes","No")</f>
        <v>Yes</v>
      </c>
      <c r="AN74" s="7" t="str">
        <f ca="1">IF(AM74="Yes",TEXT(AL74,"h:mm AM/PM"),"")</f>
        <v>11:55 PM</v>
      </c>
      <c r="AO74">
        <v>51.6</v>
      </c>
      <c r="AP74">
        <f>ROUND(MAX(0,MIN(10,(AO74-20)/6)),1)</f>
        <v>5.3</v>
      </c>
      <c r="AQ74" t="str">
        <f ca="1">IF(AE74="⭐ PICK","PICK at "&amp;AN74,"")</f>
        <v/>
      </c>
    </row>
    <row r="75" spans="1:43" x14ac:dyDescent="0.3">
      <c r="A75" t="s">
        <v>40</v>
      </c>
      <c r="B75" t="s">
        <v>59</v>
      </c>
      <c r="C75" t="s">
        <v>54</v>
      </c>
      <c r="D75" t="s">
        <v>60</v>
      </c>
      <c r="E75" t="s">
        <v>57</v>
      </c>
      <c r="K75" t="s">
        <v>45</v>
      </c>
      <c r="L75" t="s">
        <v>45</v>
      </c>
      <c r="M75" t="s">
        <v>45</v>
      </c>
      <c r="S75">
        <v>10</v>
      </c>
      <c r="X75" t="str">
        <f>IF(S75="", "", IF(S75&gt;78,"Yes","No"))</f>
        <v>No</v>
      </c>
      <c r="Y75" t="s">
        <v>54</v>
      </c>
      <c r="Z75" t="s">
        <v>47</v>
      </c>
      <c r="AA75" t="s">
        <v>56</v>
      </c>
      <c r="AB75">
        <f>IF(Y75="Emission Nebula",90,IF(Y75="Reflection Nebula",75,IF(Y75="Planetary Nebula",60,IF(Y75="Galaxy",90,IF(Y75="Globular Cluster",30,IF(Y75="Open Cluster",20,IF(Y75="Comet",20,IF(Y75="Planet",10,IF(Y75="Star",5,45)))))))))</f>
        <v>30</v>
      </c>
      <c r="AC75" t="s">
        <v>48</v>
      </c>
      <c r="AD75">
        <f>MAX(1,MIN(10,ROUND((IF(S75="",5,IF(S75&lt;3,2,IF(S75&lt;10,4,IF(S75&lt;=70,8,IF(S75&lt;=100,6,4))))))+IF(Y75="Emission Nebula",2,IF(Y75="Open Cluster",2,IF(Y75="Globular Cluster",2,IF(Y75="Reflection Nebula",1,IF(Y75="Planetary Nebula",1,IF(Y75="Comet",1,0))))))+IF(Z75="High (easy)",2,IF(Z75="Medium",1,IF(Z75="Low (hard)",-1,0)))+IF(AA75="High (OK with Moon)",2,IF(AA75="Medium",0,IF(AA75="Low (needs dark)",-2,0)))+IF(AC75="High (best &gt;50°)",1,IF(AC75="Medium",0,IF(AC75="Low (OK)",-1,0))),0)))</f>
        <v>10</v>
      </c>
      <c r="AE75" t="str">
        <f ca="1">IF(AND(CHOOSE(MONTH(TODAY()),G75,H75,I75,J75,K75,L75,M75,N75,O75,P75,Q75,R75)="✔",AD75&gt;=7,AM75="Yes",AO75&gt;=50,OR(X75="No",X75=""),OR(E75="No",V75="Yes")),"⭐ PICK","")</f>
        <v/>
      </c>
      <c r="AI75">
        <v>5.5830000000000002</v>
      </c>
      <c r="AJ75">
        <v>-5.27</v>
      </c>
      <c r="AK75" t="s">
        <v>6</v>
      </c>
      <c r="AL75" s="5">
        <f ca="1">IFERROR(MOD((AI75-(MOD(18.697374558+24.065709824419*(TODAY()-DATE(2000,1,1)+0.5)+$AZ$1/15,24)))/1.00273790935,24)/24,"")</f>
        <v>0.99700142463935526</v>
      </c>
      <c r="AM75" t="str">
        <f>IF(AO75&gt;=20,"Yes","No")</f>
        <v>Yes</v>
      </c>
      <c r="AN75" s="7" t="str">
        <f ca="1">IF(AM75="Yes",TEXT(AL75,"h:mm AM/PM"),"")</f>
        <v>11:55 PM</v>
      </c>
      <c r="AO75">
        <v>51.7</v>
      </c>
      <c r="AP75">
        <f>ROUND(MAX(0,MIN(10,(AO75-20)/6)),1)</f>
        <v>5.3</v>
      </c>
      <c r="AQ75" t="str">
        <f ca="1">IF(AE75="⭐ PICK","PICK at "&amp;AN75,"")</f>
        <v/>
      </c>
    </row>
    <row r="76" spans="1:43" x14ac:dyDescent="0.3">
      <c r="A76" t="s">
        <v>40</v>
      </c>
      <c r="B76" t="s">
        <v>112</v>
      </c>
      <c r="D76" t="s">
        <v>69</v>
      </c>
      <c r="E76" t="s">
        <v>57</v>
      </c>
      <c r="G76" t="s">
        <v>45</v>
      </c>
      <c r="H76" t="s">
        <v>45</v>
      </c>
      <c r="I76" t="s">
        <v>45</v>
      </c>
      <c r="J76" t="s">
        <v>45</v>
      </c>
      <c r="K76" t="s">
        <v>45</v>
      </c>
      <c r="L76" t="s">
        <v>45</v>
      </c>
      <c r="M76" t="s">
        <v>45</v>
      </c>
      <c r="N76" t="s">
        <v>45</v>
      </c>
      <c r="O76" t="s">
        <v>45</v>
      </c>
      <c r="P76" t="s">
        <v>45</v>
      </c>
      <c r="Q76" t="s">
        <v>45</v>
      </c>
      <c r="R76" t="s">
        <v>45</v>
      </c>
      <c r="X76" t="str">
        <f>IF(S76="", "", IF(S76&gt;78,"Yes","No"))</f>
        <v/>
      </c>
      <c r="AB76">
        <f>IF(Y76="Emission Nebula",90,IF(Y76="Reflection Nebula",75,IF(Y76="Planetary Nebula",60,IF(Y76="Galaxy",90,IF(Y76="Globular Cluster",30,IF(Y76="Open Cluster",20,IF(Y76="Comet",20,IF(Y76="Planet",10,IF(Y76="Star",5,45)))))))))</f>
        <v>45</v>
      </c>
      <c r="AD76">
        <f>MAX(1,MIN(10,ROUND((IF(S76="",5,IF(S76&lt;3,2,IF(S76&lt;10,4,IF(S76&lt;=70,8,IF(S76&lt;=100,6,4))))))+IF(Y76="Emission Nebula",2,IF(Y76="Open Cluster",2,IF(Y76="Globular Cluster",2,IF(Y76="Reflection Nebula",1,IF(Y76="Planetary Nebula",1,IF(Y76="Comet",1,0))))))+IF(Z76="High (easy)",2,IF(Z76="Medium",1,IF(Z76="Low (hard)",-1,0)))+IF(AA76="High (OK with Moon)",2,IF(AA76="Medium",0,IF(AA76="Low (needs dark)",-2,0)))+IF(AC76="High (best &gt;50°)",1,IF(AC76="Medium",0,IF(AC76="Low (OK)",-1,0))),0)))</f>
        <v>5</v>
      </c>
      <c r="AE76" t="str">
        <f ca="1">IF(AND(CHOOSE(MONTH(TODAY()),G76,H76,I76,J76,K76,L76,M76,N76,O76,P76,Q76,R76)="✔",AD76&gt;=7,AM76="Yes",AO76&gt;=50,OR(X76="No",X76=""),OR(E76="No",V76="Yes")),"⭐ PICK","")</f>
        <v/>
      </c>
      <c r="AI76">
        <v>8.6669999999999998</v>
      </c>
      <c r="AJ76">
        <v>19.667000000000002</v>
      </c>
      <c r="AK76" t="s">
        <v>7</v>
      </c>
      <c r="AL76" s="5">
        <f ca="1">IFERROR(MOD((AI76-(MOD(18.697374558+24.065709824419*(TODAY()-DATE(2000,1,1)+0.5)+$AZ$1/15,24)))/1.00273790935,24)/24,"")</f>
        <v>0.12515056391274423</v>
      </c>
      <c r="AM76" t="str">
        <f>IF(AO76&gt;=20,"Yes","No")</f>
        <v>Yes</v>
      </c>
      <c r="AN76" s="7" t="str">
        <f ca="1">IF(AM76="Yes",TEXT(AL76,"h:mm AM/PM"),"")</f>
        <v>3:00 AM</v>
      </c>
      <c r="AO76">
        <v>76.599999999999994</v>
      </c>
      <c r="AP76">
        <f>ROUND(MAX(0,MIN(10,(AO76-20)/6)),1)</f>
        <v>9.4</v>
      </c>
      <c r="AQ76" t="str">
        <f ca="1">IF(AE76="⭐ PICK","PICK at "&amp;AN76,"")</f>
        <v/>
      </c>
    </row>
    <row r="77" spans="1:43" x14ac:dyDescent="0.3">
      <c r="A77" t="s">
        <v>40</v>
      </c>
      <c r="B77" t="s">
        <v>113</v>
      </c>
      <c r="C77" t="s">
        <v>114</v>
      </c>
      <c r="D77" t="s">
        <v>419</v>
      </c>
      <c r="K77" t="s">
        <v>45</v>
      </c>
      <c r="L77" t="s">
        <v>45</v>
      </c>
      <c r="M77" t="s">
        <v>45</v>
      </c>
      <c r="N77" t="s">
        <v>45</v>
      </c>
      <c r="O77">
        <v>190</v>
      </c>
      <c r="P77">
        <v>60</v>
      </c>
      <c r="Q77" t="s">
        <v>414</v>
      </c>
      <c r="R77" t="s">
        <v>45</v>
      </c>
      <c r="S77" t="s">
        <v>45</v>
      </c>
      <c r="T77" t="s">
        <v>190</v>
      </c>
      <c r="U77" t="s">
        <v>415</v>
      </c>
      <c r="V77" t="s">
        <v>48</v>
      </c>
      <c r="W77">
        <v>60</v>
      </c>
      <c r="X77" t="s">
        <v>416</v>
      </c>
      <c r="Y77">
        <v>10</v>
      </c>
      <c r="AC77">
        <v>0.71</v>
      </c>
      <c r="AD77">
        <v>41.27</v>
      </c>
      <c r="AE77" t="str">
        <f ca="1">IF(AND(CHOOSE(MONTH(TODAY()),G77,H77,I77,J77,K77,L77,M77,N77,O77,P77,Q77,R77)="✔",AD77&gt;=7,AM77="Yes",AO77&gt;=50,OR(X77="No",X77=""),OR(E77="No",V77="Yes")),"⭐ PICK","")</f>
        <v/>
      </c>
      <c r="AL77" s="5">
        <f ca="1">IFERROR(MOD((AI77-(MOD(18.697374558+24.065709824419*(TODAY()-DATE(2000,1,1)+0.5)+$AZ$1/15,24)))/1.00273790935,24)/24,"")</f>
        <v>0.76501159177186817</v>
      </c>
      <c r="AM77" t="str">
        <f>IF(AO77&gt;=20,"Yes","No")</f>
        <v>No</v>
      </c>
      <c r="AN77" s="7" t="str">
        <f>IF(AM77="Yes",TEXT(AL77,"h:mm AM/PM"),"")</f>
        <v/>
      </c>
      <c r="AP77">
        <f>ROUND(MAX(0,MIN(10,(AO77-20)/6)),1)</f>
        <v>0</v>
      </c>
      <c r="AQ77" t="str">
        <f ca="1">IF(AE77="⭐ PICK","PICK at "&amp;AN77,"")</f>
        <v/>
      </c>
    </row>
    <row r="78" spans="1:43" x14ac:dyDescent="0.3">
      <c r="A78" t="s">
        <v>40</v>
      </c>
      <c r="B78" t="s">
        <v>120</v>
      </c>
      <c r="C78" t="s">
        <v>121</v>
      </c>
      <c r="D78" t="s">
        <v>419</v>
      </c>
      <c r="K78" t="s">
        <v>45</v>
      </c>
      <c r="L78" t="s">
        <v>45</v>
      </c>
      <c r="M78" t="s">
        <v>45</v>
      </c>
      <c r="N78" t="s">
        <v>45</v>
      </c>
      <c r="O78">
        <v>70</v>
      </c>
      <c r="P78">
        <v>90</v>
      </c>
      <c r="Q78" t="s">
        <v>414</v>
      </c>
      <c r="R78" t="s">
        <v>45</v>
      </c>
      <c r="S78" t="s">
        <v>45</v>
      </c>
      <c r="T78" t="s">
        <v>190</v>
      </c>
      <c r="U78" t="s">
        <v>420</v>
      </c>
      <c r="V78" t="s">
        <v>389</v>
      </c>
      <c r="W78">
        <v>120</v>
      </c>
      <c r="X78" t="s">
        <v>48</v>
      </c>
      <c r="Y78">
        <v>8</v>
      </c>
      <c r="AC78">
        <v>1.55</v>
      </c>
      <c r="AD78">
        <v>30.66</v>
      </c>
      <c r="AE78" t="str">
        <f ca="1">IF(AND(CHOOSE(MONTH(TODAY()),G78,H78,I78,J78,K78,L78,M78,N78,O78,P78,Q78,R78)="✔",AD78&gt;=7,AM78="Yes",AO78&gt;=50,OR(X78="No",X78=""),OR(E78="No",V78="Yes")),"⭐ PICK","")</f>
        <v/>
      </c>
      <c r="AL78" s="5">
        <f ca="1">IFERROR(MOD((AI78-(MOD(18.697374558+24.065709824419*(TODAY()-DATE(2000,1,1)+0.5)+$AZ$1/15,24)))/1.00273790935,24)/24,"")</f>
        <v>0.76501159177186817</v>
      </c>
      <c r="AM78" t="str">
        <f>IF(AO78&gt;=20,"Yes","No")</f>
        <v>No</v>
      </c>
      <c r="AN78" s="7" t="str">
        <f>IF(AM78="Yes",TEXT(AL78,"h:mm AM/PM"),"")</f>
        <v/>
      </c>
      <c r="AP78">
        <f>ROUND(MAX(0,MIN(10,(AO78-20)/6)),1)</f>
        <v>0</v>
      </c>
      <c r="AQ78" t="str">
        <f ca="1">IF(AE78="⭐ PICK","PICK at "&amp;AN78,"")</f>
        <v/>
      </c>
    </row>
    <row r="79" spans="1:43" x14ac:dyDescent="0.3">
      <c r="A79" t="s">
        <v>40</v>
      </c>
      <c r="B79" t="s">
        <v>129</v>
      </c>
      <c r="C79" t="s">
        <v>70</v>
      </c>
      <c r="D79" t="s">
        <v>69</v>
      </c>
      <c r="E79" t="s">
        <v>57</v>
      </c>
      <c r="G79" t="s">
        <v>45</v>
      </c>
      <c r="H79" t="s">
        <v>45</v>
      </c>
      <c r="I79" t="s">
        <v>45</v>
      </c>
      <c r="J79" t="s">
        <v>45</v>
      </c>
      <c r="K79" t="s">
        <v>45</v>
      </c>
      <c r="L79" t="s">
        <v>45</v>
      </c>
      <c r="M79" t="s">
        <v>45</v>
      </c>
      <c r="N79" t="s">
        <v>45</v>
      </c>
      <c r="O79" t="s">
        <v>45</v>
      </c>
      <c r="P79" t="s">
        <v>45</v>
      </c>
      <c r="Q79" t="s">
        <v>45</v>
      </c>
      <c r="R79" t="s">
        <v>45</v>
      </c>
      <c r="S79">
        <v>20</v>
      </c>
      <c r="X79" t="str">
        <f>IF(S79="", "", IF(S79&gt;78,"Yes","No"))</f>
        <v>No</v>
      </c>
      <c r="Y79" t="s">
        <v>70</v>
      </c>
      <c r="Z79" t="s">
        <v>47</v>
      </c>
      <c r="AA79" t="s">
        <v>56</v>
      </c>
      <c r="AB79">
        <f>IF(Y79="Emission Nebula",90,IF(Y79="Reflection Nebula",75,IF(Y79="Planetary Nebula",60,IF(Y79="Galaxy",90,IF(Y79="Globular Cluster",30,IF(Y79="Open Cluster",20,IF(Y79="Comet",20,IF(Y79="Planet",10,IF(Y79="Star",5,45)))))))))</f>
        <v>20</v>
      </c>
      <c r="AC79" t="s">
        <v>71</v>
      </c>
      <c r="AD79">
        <f>MAX(1,MIN(10,ROUND((IF(S79="",5,IF(S79&lt;3,2,IF(S79&lt;10,4,IF(S79&lt;=70,8,IF(S79&lt;=100,6,4))))))+IF(Y79="Emission Nebula",2,IF(Y79="Open Cluster",2,IF(Y79="Globular Cluster",2,IF(Y79="Reflection Nebula",1,IF(Y79="Planetary Nebula",1,IF(Y79="Comet",1,0))))))+IF(Z79="High (easy)",2,IF(Z79="Medium",1,IF(Z79="Low (hard)",-1,0)))+IF(AA79="High (OK with Moon)",2,IF(AA79="Medium",0,IF(AA79="Low (needs dark)",-2,0)))+IF(AC79="High (best &gt;50°)",1,IF(AC79="Medium",0,IF(AC79="Low (OK)",-1,0))),0)))</f>
        <v>10</v>
      </c>
      <c r="AE79" t="str">
        <f ca="1">IF(AND(CHOOSE(MONTH(TODAY()),G79,H79,I79,J79,K79,L79,M79,N79,O79,P79,Q79,R79)="✔",AD79&gt;=7,AM79="Yes",AO79&gt;=50,OR(X79="No",X79=""),OR(E79="No",V79="Yes")),"⭐ PICK","")</f>
        <v/>
      </c>
      <c r="AI79">
        <v>13.2</v>
      </c>
      <c r="AJ79">
        <v>18.167000000000002</v>
      </c>
      <c r="AK79" t="s">
        <v>10</v>
      </c>
      <c r="AL79" s="5">
        <f ca="1">IFERROR(MOD((AI79-(MOD(18.697374558+24.065709824419*(TODAY()-DATE(2000,1,1)+0.5)+$AZ$1/15,24)))/1.00273790935,24)/24,"")</f>
        <v>0.31350985325329933</v>
      </c>
      <c r="AM79" t="str">
        <f>IF(AO79&gt;=20,"Yes","No")</f>
        <v>Yes</v>
      </c>
      <c r="AN79" s="7" t="str">
        <f ca="1">IF(AM79="Yes",TEXT(AL79,"h:mm AM/PM"),"")</f>
        <v>7:31 AM</v>
      </c>
      <c r="AO79">
        <v>44</v>
      </c>
      <c r="AP79">
        <f>ROUND(MAX(0,MIN(10,(AO79-20)/6)),1)</f>
        <v>4</v>
      </c>
      <c r="AQ79" t="str">
        <f ca="1">IF(AE79="⭐ PICK","PICK at "&amp;AN79,"")</f>
        <v/>
      </c>
    </row>
    <row r="80" spans="1:43" x14ac:dyDescent="0.3">
      <c r="A80" t="s">
        <v>40</v>
      </c>
      <c r="B80" t="s">
        <v>134</v>
      </c>
      <c r="C80" t="s">
        <v>135</v>
      </c>
      <c r="D80" t="s">
        <v>387</v>
      </c>
      <c r="G80" t="s">
        <v>45</v>
      </c>
      <c r="H80" t="s">
        <v>45</v>
      </c>
      <c r="I80" t="s">
        <v>45</v>
      </c>
      <c r="O80" t="s">
        <v>45</v>
      </c>
      <c r="P80" t="s">
        <v>45</v>
      </c>
      <c r="Q80" t="s">
        <v>45</v>
      </c>
      <c r="R80">
        <v>85</v>
      </c>
      <c r="S80">
        <v>30</v>
      </c>
      <c r="T80" t="s">
        <v>414</v>
      </c>
      <c r="V80" t="s">
        <v>413</v>
      </c>
      <c r="W80" t="s">
        <v>46</v>
      </c>
      <c r="X80" t="s">
        <v>415</v>
      </c>
      <c r="Y80" t="s">
        <v>389</v>
      </c>
      <c r="Z80">
        <v>30</v>
      </c>
      <c r="AA80" t="s">
        <v>416</v>
      </c>
      <c r="AB80">
        <v>10</v>
      </c>
      <c r="AE80" t="str">
        <f ca="1">IF(AND(CHOOSE(MONTH(TODAY()),G80,H80,I80,J80,K80,L80,M80,N80,O80,P80,Q80,R80)="✔",AD80&gt;=7,AM80="Yes",AO80&gt;=50,OR(X80="No",X80=""),OR(E80="No",V80="Yes")),"⭐ PICK","")</f>
        <v/>
      </c>
      <c r="AF80">
        <v>5.59</v>
      </c>
      <c r="AG80">
        <v>-5.45</v>
      </c>
      <c r="AH80" t="s">
        <v>6</v>
      </c>
      <c r="AL80" s="5">
        <f ca="1">IFERROR(MOD((AI80-(MOD(18.697374558+24.065709824419*(TODAY()-DATE(2000,1,1)+0.5)+$AZ$1/15,24)))/1.00273790935,24)/24,"")</f>
        <v>0.76501159177186817</v>
      </c>
      <c r="AM80" t="str">
        <f>IF(AO80&gt;=20,"Yes","No")</f>
        <v>No</v>
      </c>
      <c r="AN80" s="7" t="str">
        <f>IF(AM80="Yes",TEXT(AL80,"h:mm AM/PM"),"")</f>
        <v/>
      </c>
      <c r="AP80">
        <f>ROUND(MAX(0,MIN(10,(AO80-20)/6)),1)</f>
        <v>0</v>
      </c>
      <c r="AQ80" t="str">
        <f ca="1">IF(AE80="⭐ PICK","PICK at "&amp;AN80,"")</f>
        <v/>
      </c>
    </row>
    <row r="81" spans="1:43" x14ac:dyDescent="0.3">
      <c r="A81" t="s">
        <v>40</v>
      </c>
      <c r="B81" t="s">
        <v>137</v>
      </c>
      <c r="C81" t="s">
        <v>138</v>
      </c>
      <c r="D81" t="s">
        <v>387</v>
      </c>
      <c r="G81" t="s">
        <v>45</v>
      </c>
      <c r="H81" t="s">
        <v>45</v>
      </c>
      <c r="I81" t="s">
        <v>45</v>
      </c>
      <c r="O81" t="s">
        <v>45</v>
      </c>
      <c r="P81" t="s">
        <v>45</v>
      </c>
      <c r="Q81" t="s">
        <v>45</v>
      </c>
      <c r="R81">
        <v>20</v>
      </c>
      <c r="S81">
        <v>30</v>
      </c>
      <c r="T81" t="s">
        <v>414</v>
      </c>
      <c r="V81" t="s">
        <v>417</v>
      </c>
      <c r="W81" t="s">
        <v>46</v>
      </c>
      <c r="X81" t="s">
        <v>415</v>
      </c>
      <c r="Y81" t="s">
        <v>389</v>
      </c>
      <c r="Z81">
        <v>30</v>
      </c>
      <c r="AA81" t="s">
        <v>416</v>
      </c>
      <c r="AB81">
        <v>8</v>
      </c>
      <c r="AE81" t="str">
        <f ca="1">IF(AND(CHOOSE(MONTH(TODAY()),G81,H81,I81,J81,K81,L81,M81,N81,O81,P81,Q81,R81)="✔",AD81&gt;=7,AM81="Yes",AO81&gt;=50,OR(X81="No",X81=""),OR(E81="No",V81="Yes")),"⭐ PICK","")</f>
        <v/>
      </c>
      <c r="AF81">
        <v>5.59</v>
      </c>
      <c r="AG81">
        <v>-5.27</v>
      </c>
      <c r="AH81" t="s">
        <v>6</v>
      </c>
      <c r="AL81" s="5">
        <f ca="1">IFERROR(MOD((AI81-(MOD(18.697374558+24.065709824419*(TODAY()-DATE(2000,1,1)+0.5)+$AZ$1/15,24)))/1.00273790935,24)/24,"")</f>
        <v>0.76501159177186817</v>
      </c>
      <c r="AM81" t="str">
        <f>IF(AO81&gt;=20,"Yes","No")</f>
        <v>No</v>
      </c>
      <c r="AN81" s="7" t="str">
        <f>IF(AM81="Yes",TEXT(AL81,"h:mm AM/PM"),"")</f>
        <v/>
      </c>
      <c r="AP81">
        <f>ROUND(MAX(0,MIN(10,(AO81-20)/6)),1)</f>
        <v>0</v>
      </c>
      <c r="AQ81" t="str">
        <f ca="1">IF(AE81="⭐ PICK","PICK at "&amp;AN81,"")</f>
        <v/>
      </c>
    </row>
    <row r="82" spans="1:43" hidden="1" x14ac:dyDescent="0.3">
      <c r="A82" t="s">
        <v>40</v>
      </c>
      <c r="B82" t="s">
        <v>173</v>
      </c>
      <c r="C82" t="s">
        <v>174</v>
      </c>
      <c r="D82" t="s">
        <v>158</v>
      </c>
      <c r="E82" t="s">
        <v>44</v>
      </c>
      <c r="J82" t="s">
        <v>45</v>
      </c>
      <c r="K82" t="s">
        <v>45</v>
      </c>
      <c r="L82" t="s">
        <v>45</v>
      </c>
      <c r="S82">
        <v>10</v>
      </c>
      <c r="X82" t="str">
        <f>IF(S82="", "", IF(S82&gt;78,"Yes","No"))</f>
        <v>No</v>
      </c>
      <c r="Y82" t="s">
        <v>116</v>
      </c>
      <c r="Z82" t="s">
        <v>48</v>
      </c>
      <c r="AA82" t="s">
        <v>117</v>
      </c>
      <c r="AB82">
        <f>IF(Y82="Emission Nebula",90,IF(Y82="Reflection Nebula",75,IF(Y82="Planetary Nebula",60,IF(Y82="Galaxy",90,IF(Y82="Globular Cluster",30,IF(Y82="Open Cluster",20,IF(Y82="Comet",20,IF(Y82="Planet",10,IF(Y82="Star",5,45)))))))))</f>
        <v>90</v>
      </c>
      <c r="AC82" t="s">
        <v>49</v>
      </c>
      <c r="AD82">
        <f>MAX(1,MIN(10,ROUND((IF(S82="",5,IF(S82&lt;3,2,IF(S82&lt;10,4,IF(S82&lt;=70,8,IF(S82&lt;=100,6,4))))))+IF(Y82="Emission Nebula",2,IF(Y82="Open Cluster",2,IF(Y82="Globular Cluster",2,IF(Y82="Reflection Nebula",1,IF(Y82="Planetary Nebula",1,IF(Y82="Comet",1,0))))))+IF(Z82="High (easy)",2,IF(Z82="Medium",1,IF(Z82="Low (hard)",-1,0)))+IF(AA82="High (OK with Moon)",2,IF(AA82="Medium",0,IF(AA82="Low (needs dark)",-2,0)))+IF(AC82="High (best &gt;50°)",1,IF(AC82="Medium",0,IF(AC82="Low (OK)",-1,0))),0)))</f>
        <v>8</v>
      </c>
      <c r="AE82" t="str">
        <f ca="1">IF(AND(CHOOSE(MONTH(TODAY()),G82,H82,I82,J82,K82,L82,M82,N82,O82,P82,Q82,R82)="✔",AD82&gt;=7,OR(V82&lt;&gt;"No",V82=""),OR(X82="No",X82="")),"⭐ PICK","")</f>
        <v/>
      </c>
      <c r="AI82">
        <v>16.283000000000001</v>
      </c>
      <c r="AJ82">
        <v>-22.966999999999999</v>
      </c>
      <c r="AK82" t="s">
        <v>11</v>
      </c>
      <c r="AL82" t="s">
        <v>64</v>
      </c>
      <c r="AM82" t="s">
        <v>57</v>
      </c>
      <c r="AN82" t="s">
        <v>62</v>
      </c>
      <c r="AO82">
        <v>-16.3</v>
      </c>
    </row>
    <row r="83" spans="1:43" hidden="1" x14ac:dyDescent="0.3">
      <c r="A83" t="s">
        <v>40</v>
      </c>
      <c r="B83" t="s">
        <v>175</v>
      </c>
      <c r="C83" t="s">
        <v>176</v>
      </c>
      <c r="D83" t="s">
        <v>158</v>
      </c>
      <c r="E83" t="s">
        <v>44</v>
      </c>
      <c r="J83" t="s">
        <v>45</v>
      </c>
      <c r="K83" t="s">
        <v>45</v>
      </c>
      <c r="L83" t="s">
        <v>45</v>
      </c>
      <c r="S83">
        <v>10</v>
      </c>
      <c r="X83" t="str">
        <f>IF(S83="", "", IF(S83&gt;78,"Yes","No"))</f>
        <v>No</v>
      </c>
      <c r="Y83" t="s">
        <v>116</v>
      </c>
      <c r="Z83" t="s">
        <v>48</v>
      </c>
      <c r="AA83" t="s">
        <v>117</v>
      </c>
      <c r="AB83">
        <f>IF(Y83="Emission Nebula",90,IF(Y83="Reflection Nebula",75,IF(Y83="Planetary Nebula",60,IF(Y83="Galaxy",90,IF(Y83="Globular Cluster",30,IF(Y83="Open Cluster",20,IF(Y83="Comet",20,IF(Y83="Planet",10,IF(Y83="Star",5,45)))))))))</f>
        <v>90</v>
      </c>
      <c r="AC83" t="s">
        <v>49</v>
      </c>
      <c r="AD83">
        <f>MAX(1,MIN(10,ROUND((IF(S83="",5,IF(S83&lt;3,2,IF(S83&lt;10,4,IF(S83&lt;=70,8,IF(S83&lt;=100,6,4))))))+IF(Y83="Emission Nebula",2,IF(Y83="Open Cluster",2,IF(Y83="Globular Cluster",2,IF(Y83="Reflection Nebula",1,IF(Y83="Planetary Nebula",1,IF(Y83="Comet",1,0))))))+IF(Z83="High (easy)",2,IF(Z83="Medium",1,IF(Z83="Low (hard)",-1,0)))+IF(AA83="High (OK with Moon)",2,IF(AA83="Medium",0,IF(AA83="Low (needs dark)",-2,0)))+IF(AC83="High (best &gt;50°)",1,IF(AC83="Medium",0,IF(AC83="Low (OK)",-1,0))),0)))</f>
        <v>8</v>
      </c>
      <c r="AE83" t="str">
        <f ca="1">IF(AND(CHOOSE(MONTH(TODAY()),G83,H83,I83,J83,K83,L83,M83,N83,O83,P83,Q83,R83)="✔",AD83&gt;=7,OR(V83&lt;&gt;"No",V83=""),OR(X83="No",X83="")),"⭐ PICK","")</f>
        <v/>
      </c>
      <c r="AI83">
        <v>9.9169999999999998</v>
      </c>
      <c r="AJ83">
        <v>69.05</v>
      </c>
      <c r="AK83" t="s">
        <v>8</v>
      </c>
      <c r="AL83" t="s">
        <v>77</v>
      </c>
      <c r="AM83" t="s">
        <v>44</v>
      </c>
      <c r="AN83" t="s">
        <v>62</v>
      </c>
      <c r="AO83">
        <v>53.9</v>
      </c>
    </row>
    <row r="84" spans="1:43" x14ac:dyDescent="0.3">
      <c r="A84" t="s">
        <v>40</v>
      </c>
      <c r="B84" t="s">
        <v>142</v>
      </c>
      <c r="C84" t="s">
        <v>143</v>
      </c>
      <c r="D84" t="s">
        <v>387</v>
      </c>
      <c r="G84" t="s">
        <v>45</v>
      </c>
      <c r="H84" t="s">
        <v>45</v>
      </c>
      <c r="I84" t="s">
        <v>45</v>
      </c>
      <c r="O84" t="s">
        <v>45</v>
      </c>
      <c r="P84" t="s">
        <v>45</v>
      </c>
      <c r="Q84" t="s">
        <v>45</v>
      </c>
      <c r="R84">
        <v>110</v>
      </c>
      <c r="S84">
        <v>20</v>
      </c>
      <c r="T84" t="s">
        <v>414</v>
      </c>
      <c r="V84" t="s">
        <v>413</v>
      </c>
      <c r="W84" t="s">
        <v>418</v>
      </c>
      <c r="X84" t="s">
        <v>415</v>
      </c>
      <c r="Y84" t="s">
        <v>48</v>
      </c>
      <c r="Z84">
        <v>20</v>
      </c>
      <c r="AA84" t="s">
        <v>416</v>
      </c>
      <c r="AB84">
        <v>9</v>
      </c>
      <c r="AE84" t="str">
        <f ca="1">IF(AND(CHOOSE(MONTH(TODAY()),G84,H84,I84,J84,K84,L84,M84,N84,O84,P84,Q84,R84)="✔",AD84&gt;=7,AM84="Yes",AO84&gt;=50,OR(X84="No",X84=""),OR(E84="No",V84="Yes")),"⭐ PICK","")</f>
        <v/>
      </c>
      <c r="AF84">
        <v>3.79</v>
      </c>
      <c r="AG84">
        <v>24.12</v>
      </c>
      <c r="AH84" t="s">
        <v>17</v>
      </c>
      <c r="AL84" s="5">
        <f ca="1">IFERROR(MOD((AI84-(MOD(18.697374558+24.065709824419*(TODAY()-DATE(2000,1,1)+0.5)+$AZ$1/15,24)))/1.00273790935,24)/24,"")</f>
        <v>0.76501159177186817</v>
      </c>
      <c r="AM84" t="str">
        <f>IF(AO84&gt;=20,"Yes","No")</f>
        <v>No</v>
      </c>
      <c r="AN84" s="7" t="str">
        <f>IF(AM84="Yes",TEXT(AL84,"h:mm AM/PM"),"")</f>
        <v/>
      </c>
      <c r="AP84">
        <f>ROUND(MAX(0,MIN(10,(AO84-20)/6)),1)</f>
        <v>0</v>
      </c>
      <c r="AQ84" t="str">
        <f ca="1">IF(AE84="⭐ PICK","PICK at "&amp;AN84,"")</f>
        <v/>
      </c>
    </row>
    <row r="85" spans="1:43" x14ac:dyDescent="0.3">
      <c r="A85" t="s">
        <v>40</v>
      </c>
      <c r="B85" t="s">
        <v>151</v>
      </c>
      <c r="C85" t="s">
        <v>152</v>
      </c>
      <c r="D85" t="s">
        <v>69</v>
      </c>
      <c r="E85" t="s">
        <v>57</v>
      </c>
      <c r="G85" t="s">
        <v>45</v>
      </c>
      <c r="H85" t="s">
        <v>45</v>
      </c>
      <c r="I85" t="s">
        <v>45</v>
      </c>
      <c r="J85" t="s">
        <v>45</v>
      </c>
      <c r="K85" t="s">
        <v>45</v>
      </c>
      <c r="L85" t="s">
        <v>45</v>
      </c>
      <c r="M85" t="s">
        <v>45</v>
      </c>
      <c r="N85" t="s">
        <v>45</v>
      </c>
      <c r="O85" t="s">
        <v>45</v>
      </c>
      <c r="P85" t="s">
        <v>45</v>
      </c>
      <c r="Q85" t="s">
        <v>45</v>
      </c>
      <c r="R85" t="s">
        <v>45</v>
      </c>
      <c r="S85">
        <v>10</v>
      </c>
      <c r="X85" t="str">
        <f>IF(S85="", "", IF(S85&gt;78,"Yes","No"))</f>
        <v>No</v>
      </c>
      <c r="Y85" t="s">
        <v>116</v>
      </c>
      <c r="Z85" t="s">
        <v>48</v>
      </c>
      <c r="AA85" t="s">
        <v>117</v>
      </c>
      <c r="AB85">
        <f>IF(Y85="Emission Nebula",90,IF(Y85="Reflection Nebula",75,IF(Y85="Planetary Nebula",60,IF(Y85="Galaxy",90,IF(Y85="Globular Cluster",30,IF(Y85="Open Cluster",20,IF(Y85="Comet",20,IF(Y85="Planet",10,IF(Y85="Star",5,45)))))))))</f>
        <v>90</v>
      </c>
      <c r="AC85" t="s">
        <v>49</v>
      </c>
      <c r="AD85">
        <f>MAX(1,MIN(10,ROUND((IF(S85="",5,IF(S85&lt;3,2,IF(S85&lt;10,4,IF(S85&lt;=70,8,IF(S85&lt;=100,6,4))))))+IF(Y85="Emission Nebula",2,IF(Y85="Open Cluster",2,IF(Y85="Globular Cluster",2,IF(Y85="Reflection Nebula",1,IF(Y85="Planetary Nebula",1,IF(Y85="Comet",1,0))))))+IF(Z85="High (easy)",2,IF(Z85="Medium",1,IF(Z85="Low (hard)",-1,0)))+IF(AA85="High (OK with Moon)",2,IF(AA85="Medium",0,IF(AA85="Low (needs dark)",-2,0)))+IF(AC85="High (best &gt;50°)",1,IF(AC85="Medium",0,IF(AC85="Low (OK)",-1,0))),0)))</f>
        <v>8</v>
      </c>
      <c r="AE85" t="str">
        <f ca="1">IF(AND(CHOOSE(MONTH(TODAY()),G85,H85,I85,J85,K85,L85,M85,N85,O85,P85,Q85,R85)="✔",AD85&gt;=7,AM85="Yes",AO85&gt;=50,OR(X85="No",X85=""),OR(E85="No",V85="Yes")),"⭐ PICK","")</f>
        <v/>
      </c>
      <c r="AI85">
        <v>12.933</v>
      </c>
      <c r="AJ85">
        <v>21.667000000000002</v>
      </c>
      <c r="AK85" t="s">
        <v>10</v>
      </c>
      <c r="AL85" s="5">
        <f ca="1">IFERROR(MOD((AI85-(MOD(18.697374558+24.065709824419*(TODAY()-DATE(2000,1,1)+0.5)+$AZ$1/15,24)))/1.00273790935,24)/24,"")</f>
        <v>0.30241522932787951</v>
      </c>
      <c r="AM85" t="str">
        <f>IF(AO85&gt;=20,"Yes","No")</f>
        <v>Yes</v>
      </c>
      <c r="AN85" s="7" t="str">
        <f ca="1">IF(AM85="Yes",TEXT(AL85,"h:mm AM/PM"),"")</f>
        <v>7:15 AM</v>
      </c>
      <c r="AO85">
        <v>49</v>
      </c>
      <c r="AP85">
        <f>ROUND(MAX(0,MIN(10,(AO85-20)/6)),1)</f>
        <v>4.8</v>
      </c>
      <c r="AQ85" t="str">
        <f ca="1">IF(AE85="⭐ PICK","PICK at "&amp;AN85,"")</f>
        <v/>
      </c>
    </row>
    <row r="86" spans="1:43" hidden="1" x14ac:dyDescent="0.3">
      <c r="A86" t="s">
        <v>40</v>
      </c>
      <c r="B86" t="s">
        <v>181</v>
      </c>
      <c r="C86" t="s">
        <v>70</v>
      </c>
      <c r="D86" t="s">
        <v>141</v>
      </c>
      <c r="E86" t="s">
        <v>44</v>
      </c>
      <c r="H86" t="s">
        <v>45</v>
      </c>
      <c r="I86" t="s">
        <v>45</v>
      </c>
      <c r="J86" t="s">
        <v>45</v>
      </c>
      <c r="S86">
        <v>20</v>
      </c>
      <c r="X86" t="str">
        <f>IF(S86="", "", IF(S86&gt;78,"Yes","No"))</f>
        <v>No</v>
      </c>
      <c r="Y86" t="s">
        <v>70</v>
      </c>
      <c r="Z86" t="s">
        <v>47</v>
      </c>
      <c r="AA86" t="s">
        <v>56</v>
      </c>
      <c r="AB86">
        <f>IF(Y86="Emission Nebula",90,IF(Y86="Reflection Nebula",75,IF(Y86="Planetary Nebula",60,IF(Y86="Galaxy",90,IF(Y86="Globular Cluster",30,IF(Y86="Open Cluster",20,IF(Y86="Comet",20,IF(Y86="Planet",10,IF(Y86="Star",5,45)))))))))</f>
        <v>20</v>
      </c>
      <c r="AC86" t="s">
        <v>71</v>
      </c>
      <c r="AD86">
        <f>MAX(1,MIN(10,ROUND((IF(S86="",5,IF(S86&lt;3,2,IF(S86&lt;10,4,IF(S86&lt;=70,8,IF(S86&lt;=100,6,4))))))+IF(Y86="Emission Nebula",2,IF(Y86="Open Cluster",2,IF(Y86="Globular Cluster",2,IF(Y86="Reflection Nebula",1,IF(Y86="Planetary Nebula",1,IF(Y86="Comet",1,0))))))+IF(Z86="High (easy)",2,IF(Z86="Medium",1,IF(Z86="Low (hard)",-1,0)))+IF(AA86="High (OK with Moon)",2,IF(AA86="Medium",0,IF(AA86="Low (needs dark)",-2,0)))+IF(AC86="High (best &gt;50°)",1,IF(AC86="Medium",0,IF(AC86="Low (OK)",-1,0))),0)))</f>
        <v>10</v>
      </c>
      <c r="AE86" t="str">
        <f ca="1">IF(AND(CHOOSE(MONTH(TODAY()),G86,H86,I86,J86,K86,L86,M86,N86,O86,P86,Q86,R86)="✔",AD86&gt;=7,OR(V86&lt;&gt;"No",V86=""),OR(X86="No",X86="")),"⭐ PICK","")</f>
        <v>⭐ PICK</v>
      </c>
      <c r="AI86">
        <v>12.417</v>
      </c>
      <c r="AJ86">
        <v>12.882999999999999</v>
      </c>
      <c r="AK86" t="s">
        <v>9</v>
      </c>
      <c r="AL86" t="s">
        <v>64</v>
      </c>
      <c r="AM86" t="s">
        <v>44</v>
      </c>
      <c r="AN86" t="s">
        <v>62</v>
      </c>
      <c r="AO86">
        <v>50.7</v>
      </c>
    </row>
    <row r="87" spans="1:43" x14ac:dyDescent="0.3">
      <c r="A87" t="s">
        <v>40</v>
      </c>
      <c r="B87" t="s">
        <v>156</v>
      </c>
      <c r="C87" t="s">
        <v>157</v>
      </c>
      <c r="D87" t="s">
        <v>421</v>
      </c>
      <c r="H87" t="s">
        <v>45</v>
      </c>
      <c r="I87" t="s">
        <v>45</v>
      </c>
      <c r="J87" t="s">
        <v>45</v>
      </c>
      <c r="O87">
        <v>11</v>
      </c>
      <c r="P87">
        <v>90</v>
      </c>
      <c r="Q87" t="s">
        <v>414</v>
      </c>
      <c r="S87" t="s">
        <v>417</v>
      </c>
      <c r="T87" t="s">
        <v>190</v>
      </c>
      <c r="U87" t="s">
        <v>48</v>
      </c>
      <c r="V87" t="s">
        <v>389</v>
      </c>
      <c r="W87">
        <v>120</v>
      </c>
      <c r="X87" t="s">
        <v>416</v>
      </c>
      <c r="Y87">
        <v>8</v>
      </c>
      <c r="AC87">
        <v>13.49</v>
      </c>
      <c r="AD87">
        <v>47.2</v>
      </c>
      <c r="AE87" t="str">
        <f ca="1">IF(AND(CHOOSE(MONTH(TODAY()),G87,H87,I87,J87,K87,L87,M87,N87,O87,P87,Q87,R87)="✔",AD87&gt;=7,AM87="Yes",AO87&gt;=50,OR(X87="No",X87=""),OR(E87="No",V87="Yes")),"⭐ PICK","")</f>
        <v/>
      </c>
      <c r="AL87" s="5">
        <f ca="1">IFERROR(MOD((AI87-(MOD(18.697374558+24.065709824419*(TODAY()-DATE(2000,1,1)+0.5)+$AZ$1/15,24)))/1.00273790935,24)/24,"")</f>
        <v>0.76501159177186817</v>
      </c>
      <c r="AM87" t="str">
        <f>IF(AO87&gt;=20,"Yes","No")</f>
        <v>No</v>
      </c>
      <c r="AN87" s="7" t="str">
        <f>IF(AM87="Yes",TEXT(AL87,"h:mm AM/PM"),"")</f>
        <v/>
      </c>
      <c r="AP87">
        <f>ROUND(MAX(0,MIN(10,(AO87-20)/6)),1)</f>
        <v>0</v>
      </c>
      <c r="AQ87" t="str">
        <f ca="1">IF(AE87="⭐ PICK","PICK at "&amp;AN87,"")</f>
        <v/>
      </c>
    </row>
    <row r="88" spans="1:43" x14ac:dyDescent="0.3">
      <c r="A88" t="s">
        <v>40</v>
      </c>
      <c r="B88" t="s">
        <v>159</v>
      </c>
      <c r="C88" t="s">
        <v>70</v>
      </c>
      <c r="D88" t="s">
        <v>115</v>
      </c>
      <c r="E88" t="s">
        <v>57</v>
      </c>
      <c r="N88" t="s">
        <v>45</v>
      </c>
      <c r="O88" t="s">
        <v>45</v>
      </c>
      <c r="P88" t="s">
        <v>45</v>
      </c>
      <c r="Q88" t="s">
        <v>45</v>
      </c>
      <c r="S88">
        <v>20</v>
      </c>
      <c r="X88" t="str">
        <f>IF(S88="", "", IF(S88&gt;78,"Yes","No"))</f>
        <v>No</v>
      </c>
      <c r="Y88" t="s">
        <v>70</v>
      </c>
      <c r="Z88" t="s">
        <v>47</v>
      </c>
      <c r="AA88" t="s">
        <v>56</v>
      </c>
      <c r="AB88">
        <f>IF(Y88="Emission Nebula",90,IF(Y88="Reflection Nebula",75,IF(Y88="Planetary Nebula",60,IF(Y88="Galaxy",90,IF(Y88="Globular Cluster",30,IF(Y88="Open Cluster",20,IF(Y88="Comet",20,IF(Y88="Planet",10,IF(Y88="Star",5,45)))))))))</f>
        <v>20</v>
      </c>
      <c r="AC88" t="s">
        <v>71</v>
      </c>
      <c r="AD88">
        <f>MAX(1,MIN(10,ROUND((IF(S88="",5,IF(S88&lt;3,2,IF(S88&lt;10,4,IF(S88&lt;=70,8,IF(S88&lt;=100,6,4))))))+IF(Y88="Emission Nebula",2,IF(Y88="Open Cluster",2,IF(Y88="Globular Cluster",2,IF(Y88="Reflection Nebula",1,IF(Y88="Planetary Nebula",1,IF(Y88="Comet",1,0))))))+IF(Z88="High (easy)",2,IF(Z88="Medium",1,IF(Z88="Low (hard)",-1,0)))+IF(AA88="High (OK with Moon)",2,IF(AA88="Medium",0,IF(AA88="Low (needs dark)",-2,0)))+IF(AC88="High (best &gt;50°)",1,IF(AC88="Medium",0,IF(AC88="Low (OK)",-1,0))),0)))</f>
        <v>10</v>
      </c>
      <c r="AE88" t="str">
        <f ca="1">IF(AND(CHOOSE(MONTH(TODAY()),G88,H88,I88,J88,K88,L88,M88,N88,O88,P88,Q88,R88)="✔",AD88&gt;=7,AM88="Yes",AO88&gt;=50,OR(X88="No",X88=""),OR(E88="No",V88="Yes")),"⭐ PICK","")</f>
        <v/>
      </c>
      <c r="AI88">
        <v>12.65</v>
      </c>
      <c r="AJ88">
        <v>-26.733000000000001</v>
      </c>
      <c r="AK88" t="s">
        <v>9</v>
      </c>
      <c r="AL88" s="5">
        <f ca="1">IFERROR(MOD((AI88-(MOD(18.697374558+24.065709824419*(TODAY()-DATE(2000,1,1)+0.5)+$AZ$1/15,24)))/1.00273790935,24)/24,"")</f>
        <v>0.29065575902490642</v>
      </c>
      <c r="AM88" t="str">
        <f>IF(AO88&gt;=20,"Yes","No")</f>
        <v>No</v>
      </c>
      <c r="AN88" s="7" t="str">
        <f>IF(AM88="Yes",TEXT(AL88,"h:mm AM/PM"),"")</f>
        <v/>
      </c>
      <c r="AO88">
        <v>18.899999999999999</v>
      </c>
      <c r="AP88">
        <f>ROUND(MAX(0,MIN(10,(AO88-20)/6)),1)</f>
        <v>0</v>
      </c>
      <c r="AQ88" t="str">
        <f ca="1">IF(AE88="⭐ PICK","PICK at "&amp;AN88,"")</f>
        <v/>
      </c>
    </row>
    <row r="89" spans="1:43" x14ac:dyDescent="0.3">
      <c r="A89" t="s">
        <v>40</v>
      </c>
      <c r="B89" t="s">
        <v>160</v>
      </c>
      <c r="C89" t="s">
        <v>54</v>
      </c>
      <c r="D89" t="s">
        <v>60</v>
      </c>
      <c r="E89" t="s">
        <v>57</v>
      </c>
      <c r="K89" t="s">
        <v>45</v>
      </c>
      <c r="L89" t="s">
        <v>45</v>
      </c>
      <c r="M89" t="s">
        <v>45</v>
      </c>
      <c r="S89">
        <v>10</v>
      </c>
      <c r="X89" t="str">
        <f>IF(S89="", "", IF(S89&gt;78,"Yes","No"))</f>
        <v>No</v>
      </c>
      <c r="Y89" t="s">
        <v>54</v>
      </c>
      <c r="Z89" t="s">
        <v>47</v>
      </c>
      <c r="AA89" t="s">
        <v>56</v>
      </c>
      <c r="AB89">
        <f>IF(Y89="Emission Nebula",90,IF(Y89="Reflection Nebula",75,IF(Y89="Planetary Nebula",60,IF(Y89="Galaxy",90,IF(Y89="Globular Cluster",30,IF(Y89="Open Cluster",20,IF(Y89="Comet",20,IF(Y89="Planet",10,IF(Y89="Star",5,45)))))))))</f>
        <v>30</v>
      </c>
      <c r="AC89" t="s">
        <v>48</v>
      </c>
      <c r="AD89">
        <f>MAX(1,MIN(10,ROUND((IF(S89="",5,IF(S89&lt;3,2,IF(S89&lt;10,4,IF(S89&lt;=70,8,IF(S89&lt;=100,6,4))))))+IF(Y89="Emission Nebula",2,IF(Y89="Open Cluster",2,IF(Y89="Globular Cluster",2,IF(Y89="Reflection Nebula",1,IF(Y89="Planetary Nebula",1,IF(Y89="Comet",1,0))))))+IF(Z89="High (easy)",2,IF(Z89="Medium",1,IF(Z89="Low (hard)",-1,0)))+IF(AA89="High (OK with Moon)",2,IF(AA89="Medium",0,IF(AA89="Low (needs dark)",-2,0)))+IF(AC89="High (best &gt;50°)",1,IF(AC89="Medium",0,IF(AC89="Low (OK)",-1,0))),0)))</f>
        <v>10</v>
      </c>
      <c r="AE89" t="str">
        <f ca="1">IF(AND(CHOOSE(MONTH(TODAY()),G89,H89,I89,J89,K89,L89,M89,N89,O89,P89,Q89,R89)="✔",AD89&gt;=7,AM89="Yes",AO89&gt;=50,OR(X89="No",X89=""),OR(E89="No",V89="Yes")),"⭐ PICK","")</f>
        <v/>
      </c>
      <c r="AI89">
        <v>18.516999999999999</v>
      </c>
      <c r="AJ89">
        <v>-32.332999999999998</v>
      </c>
      <c r="AK89" t="s">
        <v>12</v>
      </c>
      <c r="AL89" s="5">
        <f ca="1">IFERROR(MOD((AI89-(MOD(18.697374558+24.065709824419*(TODAY()-DATE(2000,1,1)+0.5)+$AZ$1/15,24)))/1.00273790935,24)/24,"")</f>
        <v>0.53444661509396374</v>
      </c>
      <c r="AM89" t="str">
        <f>IF(AO89&gt;=20,"Yes","No")</f>
        <v>No</v>
      </c>
      <c r="AN89" s="7" t="str">
        <f>IF(AM89="Yes",TEXT(AL89,"h:mm AM/PM"),"")</f>
        <v/>
      </c>
      <c r="AO89">
        <v>-33.200000000000003</v>
      </c>
      <c r="AP89">
        <f>ROUND(MAX(0,MIN(10,(AO89-20)/6)),1)</f>
        <v>0</v>
      </c>
      <c r="AQ89" t="str">
        <f ca="1">IF(AE89="⭐ PICK","PICK at "&amp;AN89,"")</f>
        <v/>
      </c>
    </row>
    <row r="90" spans="1:43" x14ac:dyDescent="0.3">
      <c r="A90" t="s">
        <v>40</v>
      </c>
      <c r="B90" t="s">
        <v>162</v>
      </c>
      <c r="D90" t="s">
        <v>69</v>
      </c>
      <c r="E90" t="s">
        <v>57</v>
      </c>
      <c r="G90" t="s">
        <v>45</v>
      </c>
      <c r="H90" t="s">
        <v>45</v>
      </c>
      <c r="I90" t="s">
        <v>45</v>
      </c>
      <c r="J90" t="s">
        <v>45</v>
      </c>
      <c r="K90" t="s">
        <v>45</v>
      </c>
      <c r="L90" t="s">
        <v>45</v>
      </c>
      <c r="M90" t="s">
        <v>45</v>
      </c>
      <c r="N90" t="s">
        <v>45</v>
      </c>
      <c r="O90" t="s">
        <v>45</v>
      </c>
      <c r="P90" t="s">
        <v>45</v>
      </c>
      <c r="Q90" t="s">
        <v>45</v>
      </c>
      <c r="R90" t="s">
        <v>45</v>
      </c>
      <c r="X90" t="str">
        <f>IF(S90="", "", IF(S90&gt;78,"Yes","No"))</f>
        <v/>
      </c>
      <c r="AB90">
        <f>IF(Y90="Emission Nebula",90,IF(Y90="Reflection Nebula",75,IF(Y90="Planetary Nebula",60,IF(Y90="Galaxy",90,IF(Y90="Globular Cluster",30,IF(Y90="Open Cluster",20,IF(Y90="Comet",20,IF(Y90="Planet",10,IF(Y90="Star",5,45)))))))))</f>
        <v>45</v>
      </c>
      <c r="AD90">
        <f>MAX(1,MIN(10,ROUND((IF(S90="",5,IF(S90&lt;3,2,IF(S90&lt;10,4,IF(S90&lt;=70,8,IF(S90&lt;=100,6,4))))))+IF(Y90="Emission Nebula",2,IF(Y90="Open Cluster",2,IF(Y90="Globular Cluster",2,IF(Y90="Reflection Nebula",1,IF(Y90="Planetary Nebula",1,IF(Y90="Comet",1,0))))))+IF(Z90="High (easy)",2,IF(Z90="Medium",1,IF(Z90="Low (hard)",-1,0)))+IF(AA90="High (OK with Moon)",2,IF(AA90="Medium",0,IF(AA90="Low (needs dark)",-2,0)))+IF(AC90="High (best &gt;50°)",1,IF(AC90="Medium",0,IF(AC90="Low (OK)",-1,0))),0)))</f>
        <v>5</v>
      </c>
      <c r="AE90" t="str">
        <f ca="1">IF(AND(CHOOSE(MONTH(TODAY()),G90,H90,I90,J90,K90,L90,M90,N90,O90,P90,Q90,R90)="✔",AD90&gt;=7,AM90="Yes",AO90&gt;=50,OR(X90="No",X90=""),OR(E90="No",V90="Yes")),"⭐ PICK","")</f>
        <v/>
      </c>
      <c r="AI90">
        <v>18.716999999999999</v>
      </c>
      <c r="AJ90">
        <v>-32.283000000000001</v>
      </c>
      <c r="AK90" t="s">
        <v>12</v>
      </c>
      <c r="AL90" s="5">
        <f ca="1">IFERROR(MOD((AI90-(MOD(18.697374558+24.065709824419*(TODAY()-DATE(2000,1,1)+0.5)+$AZ$1/15,24)))/1.00273790935,24)/24,"")</f>
        <v>0.54275719481337936</v>
      </c>
      <c r="AM90" t="str">
        <f>IF(AO90&gt;=20,"Yes","No")</f>
        <v>No</v>
      </c>
      <c r="AN90" s="7" t="str">
        <f>IF(AM90="Yes",TEXT(AL90,"h:mm AM/PM"),"")</f>
        <v/>
      </c>
      <c r="AO90">
        <v>-30.8</v>
      </c>
      <c r="AP90">
        <f>ROUND(MAX(0,MIN(10,(AO90-20)/6)),1)</f>
        <v>0</v>
      </c>
      <c r="AQ90" t="str">
        <f ca="1">IF(AE90="⭐ PICK","PICK at "&amp;AN90,"")</f>
        <v/>
      </c>
    </row>
    <row r="91" spans="1:43" x14ac:dyDescent="0.3">
      <c r="A91" t="s">
        <v>40</v>
      </c>
      <c r="B91" t="s">
        <v>163</v>
      </c>
      <c r="D91" t="s">
        <v>69</v>
      </c>
      <c r="E91" t="s">
        <v>57</v>
      </c>
      <c r="G91" t="s">
        <v>45</v>
      </c>
      <c r="H91" t="s">
        <v>45</v>
      </c>
      <c r="I91" t="s">
        <v>45</v>
      </c>
      <c r="J91" t="s">
        <v>45</v>
      </c>
      <c r="K91" t="s">
        <v>45</v>
      </c>
      <c r="L91" t="s">
        <v>45</v>
      </c>
      <c r="M91" t="s">
        <v>45</v>
      </c>
      <c r="N91" t="s">
        <v>45</v>
      </c>
      <c r="O91" t="s">
        <v>45</v>
      </c>
      <c r="P91" t="s">
        <v>45</v>
      </c>
      <c r="Q91" t="s">
        <v>45</v>
      </c>
      <c r="R91" t="s">
        <v>45</v>
      </c>
      <c r="X91" t="str">
        <f>IF(S91="", "", IF(S91&gt;78,"Yes","No"))</f>
        <v/>
      </c>
      <c r="AB91">
        <f>IF(Y91="Emission Nebula",90,IF(Y91="Reflection Nebula",75,IF(Y91="Planetary Nebula",60,IF(Y91="Galaxy",90,IF(Y91="Globular Cluster",30,IF(Y91="Open Cluster",20,IF(Y91="Comet",20,IF(Y91="Planet",10,IF(Y91="Star",5,45)))))))))</f>
        <v>45</v>
      </c>
      <c r="AD91">
        <f>MAX(1,MIN(10,ROUND((IF(S91="",5,IF(S91&lt;3,2,IF(S91&lt;10,4,IF(S91&lt;=70,8,IF(S91&lt;=100,6,4))))))+IF(Y91="Emission Nebula",2,IF(Y91="Open Cluster",2,IF(Y91="Globular Cluster",2,IF(Y91="Reflection Nebula",1,IF(Y91="Planetary Nebula",1,IF(Y91="Comet",1,0))))))+IF(Z91="High (easy)",2,IF(Z91="Medium",1,IF(Z91="Low (hard)",-1,0)))+IF(AA91="High (OK with Moon)",2,IF(AA91="Medium",0,IF(AA91="Low (needs dark)",-2,0)))+IF(AC91="High (best &gt;50°)",1,IF(AC91="Medium",0,IF(AC91="Low (OK)",-1,0))),0)))</f>
        <v>5</v>
      </c>
      <c r="AE91" t="str">
        <f ca="1">IF(AND(CHOOSE(MONTH(TODAY()),G91,H91,I91,J91,K91,L91,M91,N91,O91,P91,Q91,R91)="✔",AD91&gt;=7,AM91="Yes",AO91&gt;=50,OR(X91="No",X91=""),OR(E91="No",V91="Yes")),"⭐ PICK","")</f>
        <v/>
      </c>
      <c r="AI91">
        <v>19.882999999999999</v>
      </c>
      <c r="AJ91">
        <v>18.766999999999999</v>
      </c>
      <c r="AK91" t="s">
        <v>13</v>
      </c>
      <c r="AL91" s="5">
        <f ca="1">IFERROR(MOD((AI91-(MOD(18.697374558+24.065709824419*(TODAY()-DATE(2000,1,1)+0.5)+$AZ$1/15,24)))/1.00273790935,24)/24,"")</f>
        <v>0.59120787457757251</v>
      </c>
      <c r="AM91" t="str">
        <f>IF(AO91&gt;=20,"Yes","No")</f>
        <v>No</v>
      </c>
      <c r="AN91" s="7" t="str">
        <f>IF(AM91="Yes",TEXT(AL91,"h:mm AM/PM"),"")</f>
        <v/>
      </c>
      <c r="AO91">
        <v>9.6</v>
      </c>
      <c r="AP91">
        <f>ROUND(MAX(0,MIN(10,(AO91-20)/6)),1)</f>
        <v>0</v>
      </c>
      <c r="AQ91" t="str">
        <f ca="1">IF(AE91="⭐ PICK","PICK at "&amp;AN91,"")</f>
        <v/>
      </c>
    </row>
    <row r="92" spans="1:43" x14ac:dyDescent="0.3">
      <c r="A92" t="s">
        <v>40</v>
      </c>
      <c r="B92" t="s">
        <v>164</v>
      </c>
      <c r="D92" t="s">
        <v>69</v>
      </c>
      <c r="E92" t="s">
        <v>57</v>
      </c>
      <c r="G92" t="s">
        <v>45</v>
      </c>
      <c r="H92" t="s">
        <v>45</v>
      </c>
      <c r="I92" t="s">
        <v>45</v>
      </c>
      <c r="J92" t="s">
        <v>45</v>
      </c>
      <c r="K92" t="s">
        <v>45</v>
      </c>
      <c r="L92" t="s">
        <v>45</v>
      </c>
      <c r="M92" t="s">
        <v>45</v>
      </c>
      <c r="N92" t="s">
        <v>45</v>
      </c>
      <c r="O92" t="s">
        <v>45</v>
      </c>
      <c r="P92" t="s">
        <v>45</v>
      </c>
      <c r="Q92" t="s">
        <v>45</v>
      </c>
      <c r="R92" t="s">
        <v>45</v>
      </c>
      <c r="X92" t="str">
        <f>IF(S92="", "", IF(S92&gt;78,"Yes","No"))</f>
        <v/>
      </c>
      <c r="AB92">
        <f>IF(Y92="Emission Nebula",90,IF(Y92="Reflection Nebula",75,IF(Y92="Planetary Nebula",60,IF(Y92="Galaxy",90,IF(Y92="Globular Cluster",30,IF(Y92="Open Cluster",20,IF(Y92="Comet",20,IF(Y92="Planet",10,IF(Y92="Star",5,45)))))))))</f>
        <v>45</v>
      </c>
      <c r="AD92">
        <f>MAX(1,MIN(10,ROUND((IF(S92="",5,IF(S92&lt;3,2,IF(S92&lt;10,4,IF(S92&lt;=70,8,IF(S92&lt;=100,6,4))))))+IF(Y92="Emission Nebula",2,IF(Y92="Open Cluster",2,IF(Y92="Globular Cluster",2,IF(Y92="Reflection Nebula",1,IF(Y92="Planetary Nebula",1,IF(Y92="Comet",1,0))))))+IF(Z92="High (easy)",2,IF(Z92="Medium",1,IF(Z92="Low (hard)",-1,0)))+IF(AA92="High (OK with Moon)",2,IF(AA92="Medium",0,IF(AA92="Low (needs dark)",-2,0)))+IF(AC92="High (best &gt;50°)",1,IF(AC92="Medium",0,IF(AC92="Low (OK)",-1,0))),0)))</f>
        <v>5</v>
      </c>
      <c r="AE92" t="str">
        <f ca="1">IF(AND(CHOOSE(MONTH(TODAY()),G92,H92,I92,J92,K92,L92,M92,N92,O92,P92,Q92,R92)="✔",AD92&gt;=7,AM92="Yes",AO92&gt;=50,OR(X92="No",X92=""),OR(E92="No",V92="Yes")),"⭐ PICK","")</f>
        <v/>
      </c>
      <c r="AI92">
        <v>20.882999999999999</v>
      </c>
      <c r="AJ92">
        <v>-12.532999999999999</v>
      </c>
      <c r="AK92" t="s">
        <v>13</v>
      </c>
      <c r="AL92" s="5">
        <f ca="1">IFERROR(MOD((AI92-(MOD(18.697374558+24.065709824419*(TODAY()-DATE(2000,1,1)+0.5)+$AZ$1/15,24)))/1.00273790935,24)/24,"")</f>
        <v>0.63276077317465063</v>
      </c>
      <c r="AM92" t="str">
        <f>IF(AO92&gt;=20,"Yes","No")</f>
        <v>No</v>
      </c>
      <c r="AN92" s="7" t="str">
        <f>IF(AM92="Yes",TEXT(AL92,"h:mm AM/PM"),"")</f>
        <v/>
      </c>
      <c r="AO92">
        <v>4.9000000000000004</v>
      </c>
      <c r="AP92">
        <f>ROUND(MAX(0,MIN(10,(AO92-20)/6)),1)</f>
        <v>0</v>
      </c>
      <c r="AQ92" t="str">
        <f ca="1">IF(AE92="⭐ PICK","PICK at "&amp;AN92,"")</f>
        <v/>
      </c>
    </row>
    <row r="93" spans="1:43" x14ac:dyDescent="0.3">
      <c r="A93" t="s">
        <v>40</v>
      </c>
      <c r="B93" t="s">
        <v>165</v>
      </c>
      <c r="C93" t="s">
        <v>166</v>
      </c>
      <c r="D93" t="s">
        <v>69</v>
      </c>
      <c r="E93" t="s">
        <v>57</v>
      </c>
      <c r="G93" t="s">
        <v>45</v>
      </c>
      <c r="H93" t="s">
        <v>45</v>
      </c>
      <c r="I93" t="s">
        <v>45</v>
      </c>
      <c r="J93" t="s">
        <v>45</v>
      </c>
      <c r="K93" t="s">
        <v>45</v>
      </c>
      <c r="L93" t="s">
        <v>45</v>
      </c>
      <c r="M93" t="s">
        <v>45</v>
      </c>
      <c r="N93" t="s">
        <v>45</v>
      </c>
      <c r="O93" t="s">
        <v>45</v>
      </c>
      <c r="P93" t="s">
        <v>45</v>
      </c>
      <c r="Q93" t="s">
        <v>45</v>
      </c>
      <c r="R93" t="s">
        <v>45</v>
      </c>
      <c r="S93">
        <v>2</v>
      </c>
      <c r="X93" t="str">
        <f>IF(S93="", "", IF(S93&gt;78,"Yes","No"))</f>
        <v>No</v>
      </c>
      <c r="Y93" t="s">
        <v>167</v>
      </c>
      <c r="Z93" t="s">
        <v>47</v>
      </c>
      <c r="AA93" t="s">
        <v>56</v>
      </c>
      <c r="AB93">
        <f>IF(Y93="Emission Nebula",90,IF(Y93="Reflection Nebula",75,IF(Y93="Planetary Nebula",60,IF(Y93="Galaxy",90,IF(Y93="Globular Cluster",30,IF(Y93="Open Cluster",20,IF(Y93="Comet",20,IF(Y93="Planet",10,IF(Y93="Star",5,45)))))))))</f>
        <v>60</v>
      </c>
      <c r="AC93" t="s">
        <v>48</v>
      </c>
      <c r="AD93">
        <f>MAX(1,MIN(10,ROUND((IF(S93="",5,IF(S93&lt;3,2,IF(S93&lt;10,4,IF(S93&lt;=70,8,IF(S93&lt;=100,6,4))))))+IF(Y93="Emission Nebula",2,IF(Y93="Open Cluster",2,IF(Y93="Globular Cluster",2,IF(Y93="Reflection Nebula",1,IF(Y93="Planetary Nebula",1,IF(Y93="Comet",1,0))))))+IF(Z93="High (easy)",2,IF(Z93="Medium",1,IF(Z93="Low (hard)",-1,0)))+IF(AA93="High (OK with Moon)",2,IF(AA93="Medium",0,IF(AA93="Low (needs dark)",-2,0)))+IF(AC93="High (best &gt;50°)",1,IF(AC93="Medium",0,IF(AC93="Low (OK)",-1,0))),0)))</f>
        <v>7</v>
      </c>
      <c r="AE93" t="str">
        <f ca="1">IF(AND(CHOOSE(MONTH(TODAY()),G93,H93,I93,J93,K93,L93,M93,N93,O93,P93,Q93,R93)="✔",AD93&gt;=7,AM93="Yes",AO93&gt;=50,OR(X93="No",X93=""),OR(E93="No",V93="Yes")),"⭐ PICK","")</f>
        <v/>
      </c>
      <c r="AI93">
        <v>20.983000000000001</v>
      </c>
      <c r="AJ93">
        <v>-12.632999999999999</v>
      </c>
      <c r="AK93" t="s">
        <v>14</v>
      </c>
      <c r="AL93" s="5">
        <f ca="1">IFERROR(MOD((AI93-(MOD(18.697374558+24.065709824419*(TODAY()-DATE(2000,1,1)+0.5)+$AZ$1/15,24)))/1.00273790935,24)/24,"")</f>
        <v>0.63691606303435844</v>
      </c>
      <c r="AM93" t="str">
        <f>IF(AO93&gt;=20,"Yes","No")</f>
        <v>No</v>
      </c>
      <c r="AN93" s="7" t="str">
        <f>IF(AM93="Yes",TEXT(AL93,"h:mm AM/PM"),"")</f>
        <v/>
      </c>
      <c r="AO93">
        <v>6</v>
      </c>
      <c r="AP93">
        <f>ROUND(MAX(0,MIN(10,(AO93-20)/6)),1)</f>
        <v>0</v>
      </c>
      <c r="AQ93" t="str">
        <f ca="1">IF(AE93="⭐ PICK","PICK at "&amp;AN93,"")</f>
        <v/>
      </c>
    </row>
    <row r="94" spans="1:43" hidden="1" x14ac:dyDescent="0.3">
      <c r="A94" t="s">
        <v>40</v>
      </c>
      <c r="B94" t="s">
        <v>189</v>
      </c>
      <c r="C94" t="s">
        <v>190</v>
      </c>
      <c r="D94" t="s">
        <v>123</v>
      </c>
      <c r="E94" t="s">
        <v>44</v>
      </c>
      <c r="P94" t="s">
        <v>45</v>
      </c>
      <c r="Q94" t="s">
        <v>45</v>
      </c>
      <c r="R94" t="s">
        <v>45</v>
      </c>
      <c r="S94">
        <v>10</v>
      </c>
      <c r="X94" t="str">
        <f>IF(S94="", "", IF(S94&gt;78,"Yes","No"))</f>
        <v>No</v>
      </c>
      <c r="Y94" t="s">
        <v>116</v>
      </c>
      <c r="Z94" t="s">
        <v>48</v>
      </c>
      <c r="AA94" t="s">
        <v>117</v>
      </c>
      <c r="AB94">
        <f>IF(Y94="Emission Nebula",90,IF(Y94="Reflection Nebula",75,IF(Y94="Planetary Nebula",60,IF(Y94="Galaxy",90,IF(Y94="Globular Cluster",30,IF(Y94="Open Cluster",20,IF(Y94="Comet",20,IF(Y94="Planet",10,IF(Y94="Star",5,45)))))))))</f>
        <v>90</v>
      </c>
      <c r="AC94" t="s">
        <v>49</v>
      </c>
      <c r="AD94">
        <f>MAX(1,MIN(10,ROUND((IF(S94="",5,IF(S94&lt;3,2,IF(S94&lt;10,4,IF(S94&lt;=70,8,IF(S94&lt;=100,6,4))))))+IF(Y94="Emission Nebula",2,IF(Y94="Open Cluster",2,IF(Y94="Globular Cluster",2,IF(Y94="Reflection Nebula",1,IF(Y94="Planetary Nebula",1,IF(Y94="Comet",1,0))))))+IF(Z94="High (easy)",2,IF(Z94="Medium",1,IF(Z94="Low (hard)",-1,0)))+IF(AA94="High (OK with Moon)",2,IF(AA94="Medium",0,IF(AA94="Low (needs dark)",-2,0)))+IF(AC94="High (best &gt;50°)",1,IF(AC94="Medium",0,IF(AC94="Low (OK)",-1,0))),0)))</f>
        <v>8</v>
      </c>
      <c r="AE94" t="str">
        <f ca="1">IF(AND(CHOOSE(MONTH(TODAY()),G94,H94,I94,J94,K94,L94,M94,N94,O94,P94,Q94,R94)="✔",AD94&gt;=7,OR(V94&lt;&gt;"No",V94=""),OR(X94="No",X94="")),"⭐ PICK","")</f>
        <v/>
      </c>
      <c r="AI94">
        <v>17.283000000000001</v>
      </c>
      <c r="AJ94">
        <v>43.133000000000003</v>
      </c>
      <c r="AK94" t="s">
        <v>12</v>
      </c>
      <c r="AL94" t="s">
        <v>66</v>
      </c>
      <c r="AM94" t="s">
        <v>57</v>
      </c>
      <c r="AN94" t="s">
        <v>62</v>
      </c>
      <c r="AO94">
        <v>9.4</v>
      </c>
    </row>
    <row r="95" spans="1:43" x14ac:dyDescent="0.3">
      <c r="A95" t="s">
        <v>40</v>
      </c>
      <c r="B95" t="s">
        <v>165</v>
      </c>
      <c r="C95" t="s">
        <v>166</v>
      </c>
      <c r="D95" t="s">
        <v>395</v>
      </c>
      <c r="I95" t="s">
        <v>45</v>
      </c>
      <c r="J95" t="s">
        <v>45</v>
      </c>
      <c r="K95" t="s">
        <v>45</v>
      </c>
      <c r="O95">
        <v>1.5</v>
      </c>
      <c r="P95">
        <v>45</v>
      </c>
      <c r="Q95" t="s">
        <v>414</v>
      </c>
      <c r="S95" t="s">
        <v>417</v>
      </c>
      <c r="T95" t="s">
        <v>167</v>
      </c>
      <c r="U95" t="s">
        <v>415</v>
      </c>
      <c r="V95" t="s">
        <v>416</v>
      </c>
      <c r="W95">
        <v>45</v>
      </c>
      <c r="X95" t="s">
        <v>416</v>
      </c>
      <c r="Y95">
        <v>8</v>
      </c>
      <c r="AC95">
        <v>18.89</v>
      </c>
      <c r="AD95">
        <v>33.03</v>
      </c>
      <c r="AE95" t="str">
        <f ca="1">IF(AND(CHOOSE(MONTH(TODAY()),G95,H95,I95,J95,K95,L95,M95,N95,O95,P95,Q95,R95)="✔",AD95&gt;=7,AM95="Yes",AO95&gt;=50,OR(X95="No",X95=""),OR(E95="No",V95="Yes")),"⭐ PICK","")</f>
        <v/>
      </c>
      <c r="AL95" s="5">
        <f ca="1">IFERROR(MOD((AI95-(MOD(18.697374558+24.065709824419*(TODAY()-DATE(2000,1,1)+0.5)+$AZ$1/15,24)))/1.00273790935,24)/24,"")</f>
        <v>0.76501159177186817</v>
      </c>
      <c r="AM95" t="str">
        <f>IF(AO95&gt;=20,"Yes","No")</f>
        <v>No</v>
      </c>
      <c r="AN95" s="7" t="str">
        <f>IF(AM95="Yes",TEXT(AL95,"h:mm AM/PM"),"")</f>
        <v/>
      </c>
      <c r="AP95">
        <f>ROUND(MAX(0,MIN(10,(AO95-20)/6)),1)</f>
        <v>0</v>
      </c>
      <c r="AQ95" t="str">
        <f ca="1">IF(AE95="⭐ PICK","PICK at "&amp;AN95,"")</f>
        <v/>
      </c>
    </row>
    <row r="96" spans="1:43" hidden="1" x14ac:dyDescent="0.3">
      <c r="A96" t="s">
        <v>40</v>
      </c>
      <c r="B96" t="s">
        <v>192</v>
      </c>
      <c r="C96" t="s">
        <v>193</v>
      </c>
      <c r="D96" t="s">
        <v>123</v>
      </c>
      <c r="E96" t="s">
        <v>44</v>
      </c>
      <c r="P96" t="s">
        <v>45</v>
      </c>
      <c r="Q96" t="s">
        <v>45</v>
      </c>
      <c r="R96" t="s">
        <v>45</v>
      </c>
      <c r="X96" t="str">
        <f>IF(S96="", "", IF(S96&gt;78,"Yes","No"))</f>
        <v/>
      </c>
      <c r="AB96">
        <f>IF(Y96="Emission Nebula",90,IF(Y96="Reflection Nebula",75,IF(Y96="Planetary Nebula",60,IF(Y96="Galaxy",90,IF(Y96="Globular Cluster",30,IF(Y96="Open Cluster",20,IF(Y96="Comet",20,IF(Y96="Planet",10,IF(Y96="Star",5,45)))))))))</f>
        <v>45</v>
      </c>
      <c r="AD96">
        <f>MAX(1,MIN(10,ROUND((IF(S96="",5,IF(S96&lt;3,2,IF(S96&lt;10,4,IF(S96&lt;=70,8,IF(S96&lt;=100,6,4))))))+IF(Y96="Emission Nebula",2,IF(Y96="Open Cluster",2,IF(Y96="Globular Cluster",2,IF(Y96="Reflection Nebula",1,IF(Y96="Planetary Nebula",1,IF(Y96="Comet",1,0))))))+IF(Z96="High (easy)",2,IF(Z96="Medium",1,IF(Z96="Low (hard)",-1,0)))+IF(AA96="High (OK with Moon)",2,IF(AA96="Medium",0,IF(AA96="Low (needs dark)",-2,0)))+IF(AC96="High (best &gt;50°)",1,IF(AC96="Medium",0,IF(AC96="Low (OK)",-1,0))),0)))</f>
        <v>5</v>
      </c>
      <c r="AE96" t="str">
        <f ca="1">IF(AND(CHOOSE(MONTH(TODAY()),G96,H96,I96,J96,K96,L96,M96,N96,O96,P96,Q96,R96)="✔",AD96&gt;=7,OR(V96&lt;&gt;"No",V96=""),OR(X96="No",X96="")),"⭐ PICK","")</f>
        <v/>
      </c>
      <c r="AI96">
        <v>12.833</v>
      </c>
      <c r="AJ96">
        <v>41.116999999999997</v>
      </c>
      <c r="AK96" t="s">
        <v>9</v>
      </c>
      <c r="AL96" t="s">
        <v>83</v>
      </c>
      <c r="AM96" t="s">
        <v>44</v>
      </c>
      <c r="AN96" t="s">
        <v>62</v>
      </c>
      <c r="AO96">
        <v>54.9</v>
      </c>
    </row>
    <row r="97" spans="1:43" hidden="1" x14ac:dyDescent="0.3">
      <c r="A97" t="s">
        <v>40</v>
      </c>
      <c r="B97" t="s">
        <v>194</v>
      </c>
      <c r="C97" t="s">
        <v>195</v>
      </c>
      <c r="D97" t="s">
        <v>123</v>
      </c>
      <c r="E97" t="s">
        <v>44</v>
      </c>
      <c r="P97" t="s">
        <v>45</v>
      </c>
      <c r="Q97" t="s">
        <v>45</v>
      </c>
      <c r="R97" t="s">
        <v>45</v>
      </c>
      <c r="S97">
        <v>10</v>
      </c>
      <c r="X97" t="str">
        <f>IF(S97="", "", IF(S97&gt;78,"Yes","No"))</f>
        <v>No</v>
      </c>
      <c r="Y97" t="s">
        <v>116</v>
      </c>
      <c r="Z97" t="s">
        <v>48</v>
      </c>
      <c r="AA97" t="s">
        <v>117</v>
      </c>
      <c r="AB97">
        <f>IF(Y97="Emission Nebula",90,IF(Y97="Reflection Nebula",75,IF(Y97="Planetary Nebula",60,IF(Y97="Galaxy",90,IF(Y97="Globular Cluster",30,IF(Y97="Open Cluster",20,IF(Y97="Comet",20,IF(Y97="Planet",10,IF(Y97="Star",5,45)))))))))</f>
        <v>90</v>
      </c>
      <c r="AC97" t="s">
        <v>49</v>
      </c>
      <c r="AD97">
        <f>MAX(1,MIN(10,ROUND((IF(S97="",5,IF(S97&lt;3,2,IF(S97&lt;10,4,IF(S97&lt;=70,8,IF(S97&lt;=100,6,4))))))+IF(Y97="Emission Nebula",2,IF(Y97="Open Cluster",2,IF(Y97="Globular Cluster",2,IF(Y97="Reflection Nebula",1,IF(Y97="Planetary Nebula",1,IF(Y97="Comet",1,0))))))+IF(Z97="High (easy)",2,IF(Z97="Medium",1,IF(Z97="Low (hard)",-1,0)))+IF(AA97="High (OK with Moon)",2,IF(AA97="Medium",0,IF(AA97="Low (needs dark)",-2,0)))+IF(AC97="High (best &gt;50°)",1,IF(AC97="Medium",0,IF(AC97="Low (OK)",-1,0))),0)))</f>
        <v>8</v>
      </c>
      <c r="AE97" t="str">
        <f ca="1">IF(AND(CHOOSE(MONTH(TODAY()),G97,H97,I97,J97,K97,L97,M97,N97,O97,P97,Q97,R97)="✔",AD97&gt;=7,OR(V97&lt;&gt;"No",V97=""),OR(X97="No",X97="")),"⭐ PICK","")</f>
        <v/>
      </c>
      <c r="AI97">
        <v>10.717000000000001</v>
      </c>
      <c r="AJ97">
        <v>11.7</v>
      </c>
      <c r="AK97" t="s">
        <v>8</v>
      </c>
      <c r="AL97" t="s">
        <v>87</v>
      </c>
      <c r="AM97" t="s">
        <v>44</v>
      </c>
      <c r="AN97" t="s">
        <v>62</v>
      </c>
      <c r="AO97">
        <v>66.2</v>
      </c>
    </row>
    <row r="98" spans="1:43" hidden="1" x14ac:dyDescent="0.3">
      <c r="A98" t="s">
        <v>40</v>
      </c>
      <c r="B98" t="s">
        <v>196</v>
      </c>
      <c r="C98" t="s">
        <v>197</v>
      </c>
      <c r="D98" t="s">
        <v>125</v>
      </c>
      <c r="E98" t="s">
        <v>44</v>
      </c>
      <c r="G98" t="s">
        <v>45</v>
      </c>
      <c r="H98" t="s">
        <v>45</v>
      </c>
      <c r="R98" t="s">
        <v>45</v>
      </c>
      <c r="S98">
        <v>30</v>
      </c>
      <c r="T98">
        <v>20</v>
      </c>
      <c r="V98" t="s">
        <v>384</v>
      </c>
      <c r="X98" t="str">
        <f>IF(S98="", "", IF(S98&gt;78,"Yes","No"))</f>
        <v>No</v>
      </c>
      <c r="Y98" t="s">
        <v>197</v>
      </c>
      <c r="Z98" t="s">
        <v>48</v>
      </c>
      <c r="AA98" t="s">
        <v>117</v>
      </c>
      <c r="AB98">
        <f>IF(Y98="Emission Nebula",90,IF(Y98="Reflection Nebula",75,IF(Y98="Planetary Nebula",60,IF(Y98="Galaxy",90,IF(Y98="Globular Cluster",30,IF(Y98="Open Cluster",20,IF(Y98="Comet",20,IF(Y98="Planet",10,IF(Y98="Star",5,45)))))))))</f>
        <v>75</v>
      </c>
      <c r="AC98" t="s">
        <v>49</v>
      </c>
      <c r="AD98">
        <f>MAX(1,MIN(10,ROUND((IF(S98="",5,IF(S98&lt;3,2,IF(S98&lt;10,4,IF(S98&lt;=70,8,IF(S98&lt;=100,6,4))))))+IF(Y98="Emission Nebula",2,IF(Y98="Open Cluster",2,IF(Y98="Globular Cluster",2,IF(Y98="Reflection Nebula",1,IF(Y98="Planetary Nebula",1,IF(Y98="Comet",1,0))))))+IF(Z98="High (easy)",2,IF(Z98="Medium",1,IF(Z98="Low (hard)",-1,0)))+IF(AA98="High (OK with Moon)",2,IF(AA98="Medium",0,IF(AA98="Low (needs dark)",-2,0)))+IF(AC98="High (best &gt;50°)",1,IF(AC98="Medium",0,IF(AC98="Low (OK)",-1,0))),0)))</f>
        <v>9</v>
      </c>
      <c r="AE98" t="str">
        <f ca="1">IF(AND(CHOOSE(MONTH(TODAY()),G98,H98,I98,J98,K98,L98,M98,N98,O98,P98,Q98,R98)="✔",AD98&gt;=7,OR(V98&lt;&gt;"No",V98=""),OR(X98="No",X98="")),"⭐ PICK","")</f>
        <v/>
      </c>
      <c r="AI98">
        <v>10.766999999999999</v>
      </c>
      <c r="AJ98">
        <v>11.817</v>
      </c>
      <c r="AK98" t="s">
        <v>8</v>
      </c>
      <c r="AL98" t="s">
        <v>83</v>
      </c>
      <c r="AM98" t="s">
        <v>44</v>
      </c>
      <c r="AN98" t="s">
        <v>62</v>
      </c>
      <c r="AO98">
        <v>66</v>
      </c>
    </row>
    <row r="99" spans="1:43" x14ac:dyDescent="0.3">
      <c r="A99" t="s">
        <v>40</v>
      </c>
      <c r="B99" t="s">
        <v>168</v>
      </c>
      <c r="D99" t="s">
        <v>69</v>
      </c>
      <c r="E99" t="s">
        <v>57</v>
      </c>
      <c r="G99" t="s">
        <v>45</v>
      </c>
      <c r="H99" t="s">
        <v>45</v>
      </c>
      <c r="I99" t="s">
        <v>45</v>
      </c>
      <c r="J99" t="s">
        <v>45</v>
      </c>
      <c r="K99" t="s">
        <v>45</v>
      </c>
      <c r="L99" t="s">
        <v>45</v>
      </c>
      <c r="M99" t="s">
        <v>45</v>
      </c>
      <c r="N99" t="s">
        <v>45</v>
      </c>
      <c r="O99" t="s">
        <v>45</v>
      </c>
      <c r="P99" t="s">
        <v>45</v>
      </c>
      <c r="Q99" t="s">
        <v>45</v>
      </c>
      <c r="R99" t="s">
        <v>45</v>
      </c>
      <c r="X99" t="str">
        <f>IF(S99="", "", IF(S99&gt;78,"Yes","No"))</f>
        <v/>
      </c>
      <c r="AB99">
        <f>IF(Y99="Emission Nebula",90,IF(Y99="Reflection Nebula",75,IF(Y99="Planetary Nebula",60,IF(Y99="Galaxy",90,IF(Y99="Globular Cluster",30,IF(Y99="Open Cluster",20,IF(Y99="Comet",20,IF(Y99="Planet",10,IF(Y99="Star",5,45)))))))))</f>
        <v>45</v>
      </c>
      <c r="AD99">
        <f>MAX(1,MIN(10,ROUND((IF(S99="",5,IF(S99&lt;3,2,IF(S99&lt;10,4,IF(S99&lt;=70,8,IF(S99&lt;=100,6,4))))))+IF(Y99="Emission Nebula",2,IF(Y99="Open Cluster",2,IF(Y99="Globular Cluster",2,IF(Y99="Reflection Nebula",1,IF(Y99="Planetary Nebula",1,IF(Y99="Comet",1,0))))))+IF(Z99="High (easy)",2,IF(Z99="Medium",1,IF(Z99="Low (hard)",-1,0)))+IF(AA99="High (OK with Moon)",2,IF(AA99="Medium",0,IF(AA99="Low (needs dark)",-2,0)))+IF(AC99="High (best &gt;50°)",1,IF(AC99="Medium",0,IF(AC99="Low (OK)",-1,0))),0)))</f>
        <v>5</v>
      </c>
      <c r="AE99" t="str">
        <f ca="1">IF(AND(CHOOSE(MONTH(TODAY()),G99,H99,I99,J99,K99,L99,M99,N99,O99,P99,Q99,R99)="✔",AD99&gt;=7,AM99="Yes",AO99&gt;=50,OR(X99="No",X99=""),OR(E99="No",V99="Yes")),"⭐ PICK","")</f>
        <v/>
      </c>
      <c r="AI99">
        <v>1.6</v>
      </c>
      <c r="AJ99">
        <v>15.782999999999999</v>
      </c>
      <c r="AK99" t="s">
        <v>16</v>
      </c>
      <c r="AL99" s="5">
        <f ca="1">IFERROR(MOD((AI99-(MOD(18.697374558+24.065709824419*(TODAY()-DATE(2000,1,1)+0.5)+$AZ$1/15,24)))/1.00273790935,24)/24,"")</f>
        <v>0.83149622952719315</v>
      </c>
      <c r="AM99" t="str">
        <f>IF(AO99&gt;=20,"Yes","No")</f>
        <v>Yes</v>
      </c>
      <c r="AN99" s="7" t="str">
        <f ca="1">IF(AM99="Yes",TEXT(AL99,"h:mm AM/PM"),"")</f>
        <v>7:57 PM</v>
      </c>
      <c r="AO99">
        <v>72.2</v>
      </c>
      <c r="AP99">
        <f>ROUND(MAX(0,MIN(10,(AO99-20)/6)),1)</f>
        <v>8.6999999999999993</v>
      </c>
      <c r="AQ99" t="str">
        <f ca="1">IF(AE99="⭐ PICK","PICK at "&amp;AN99,"")</f>
        <v/>
      </c>
    </row>
    <row r="100" spans="1:43" hidden="1" x14ac:dyDescent="0.3">
      <c r="A100" t="s">
        <v>40</v>
      </c>
      <c r="B100" t="s">
        <v>74</v>
      </c>
      <c r="C100" t="s">
        <v>75</v>
      </c>
      <c r="D100" t="s">
        <v>76</v>
      </c>
      <c r="E100" t="s">
        <v>44</v>
      </c>
      <c r="L100" t="s">
        <v>45</v>
      </c>
      <c r="M100" t="s">
        <v>45</v>
      </c>
      <c r="N100" t="s">
        <v>45</v>
      </c>
      <c r="S100">
        <v>60</v>
      </c>
      <c r="X100" t="str">
        <f>IF(S100="", "", IF(S100&gt;78,"Yes","No"))</f>
        <v>No</v>
      </c>
      <c r="Y100" t="s">
        <v>46</v>
      </c>
      <c r="Z100" t="s">
        <v>47</v>
      </c>
      <c r="AA100" t="s">
        <v>48</v>
      </c>
      <c r="AB100">
        <f>IF(Y100="Emission Nebula",90,IF(Y100="Reflection Nebula",75,IF(Y100="Planetary Nebula",60,IF(Y100="Galaxy",90,IF(Y100="Globular Cluster",30,IF(Y100="Open Cluster",20,IF(Y100="Comet",20,IF(Y100="Planet",10,IF(Y100="Star",5,45)))))))))</f>
        <v>90</v>
      </c>
      <c r="AC100" t="s">
        <v>49</v>
      </c>
      <c r="AD100">
        <f>MAX(1,MIN(10,ROUND((IF(S100="",5,IF(S100&lt;3,2,IF(S100&lt;10,4,IF(S100&lt;=70,8,IF(S100&lt;=100,6,4))))))+IF(Y100="Emission Nebula",2,IF(Y100="Open Cluster",2,IF(Y100="Globular Cluster",2,IF(Y100="Reflection Nebula",1,IF(Y100="Planetary Nebula",1,IF(Y100="Comet",1,0))))))+IF(Z100="High (easy)",2,IF(Z100="Medium",1,IF(Z100="Low (hard)",-1,0)))+IF(AA100="High (OK with Moon)",2,IF(AA100="Medium",0,IF(AA100="Low (needs dark)",-2,0)))+IF(AC100="High (best &gt;50°)",1,IF(AC100="Medium",0,IF(AC100="Low (OK)",-1,0))),0)))</f>
        <v>10</v>
      </c>
      <c r="AE100" t="str">
        <f ca="1">IF(AND(CHOOSE(MONTH(TODAY()),G100,H100,I100,J100,K100,L100,M100,N100,O100,P100,Q100,R100)="✔",AD100&gt;=7,OR(V100&lt;&gt;"No",V100=""),OR(X100="No",X100="")),"⭐ PICK","")</f>
        <v/>
      </c>
      <c r="AI100">
        <v>12.217000000000001</v>
      </c>
      <c r="AJ100">
        <v>14.9</v>
      </c>
      <c r="AK100" t="s">
        <v>9</v>
      </c>
      <c r="AL100" t="s">
        <v>223</v>
      </c>
      <c r="AM100" t="s">
        <v>44</v>
      </c>
      <c r="AN100" t="s">
        <v>62</v>
      </c>
      <c r="AO100">
        <v>54.3</v>
      </c>
    </row>
    <row r="101" spans="1:43" x14ac:dyDescent="0.3">
      <c r="A101" t="s">
        <v>40</v>
      </c>
      <c r="B101" t="s">
        <v>169</v>
      </c>
      <c r="D101" t="s">
        <v>69</v>
      </c>
      <c r="E101" t="s">
        <v>57</v>
      </c>
      <c r="G101" t="s">
        <v>45</v>
      </c>
      <c r="H101" t="s">
        <v>45</v>
      </c>
      <c r="I101" t="s">
        <v>45</v>
      </c>
      <c r="J101" t="s">
        <v>45</v>
      </c>
      <c r="K101" t="s">
        <v>45</v>
      </c>
      <c r="L101" t="s">
        <v>45</v>
      </c>
      <c r="M101" t="s">
        <v>45</v>
      </c>
      <c r="N101" t="s">
        <v>45</v>
      </c>
      <c r="O101" t="s">
        <v>45</v>
      </c>
      <c r="P101" t="s">
        <v>45</v>
      </c>
      <c r="Q101" t="s">
        <v>45</v>
      </c>
      <c r="R101" t="s">
        <v>45</v>
      </c>
      <c r="X101" t="str">
        <f>IF(S101="", "", IF(S101&gt;78,"Yes","No"))</f>
        <v/>
      </c>
      <c r="AB101">
        <f>IF(Y101="Emission Nebula",90,IF(Y101="Reflection Nebula",75,IF(Y101="Planetary Nebula",60,IF(Y101="Galaxy",90,IF(Y101="Globular Cluster",30,IF(Y101="Open Cluster",20,IF(Y101="Comet",20,IF(Y101="Planet",10,IF(Y101="Star",5,45)))))))))</f>
        <v>45</v>
      </c>
      <c r="AD101">
        <f>MAX(1,MIN(10,ROUND((IF(S101="",5,IF(S101&lt;3,2,IF(S101&lt;10,4,IF(S101&lt;=70,8,IF(S101&lt;=100,6,4))))))+IF(Y101="Emission Nebula",2,IF(Y101="Open Cluster",2,IF(Y101="Globular Cluster",2,IF(Y101="Reflection Nebula",1,IF(Y101="Planetary Nebula",1,IF(Y101="Comet",1,0))))))+IF(Z101="High (easy)",2,IF(Z101="Medium",1,IF(Z101="Low (hard)",-1,0)))+IF(AA101="High (OK with Moon)",2,IF(AA101="Medium",0,IF(AA101="Low (needs dark)",-2,0)))+IF(AC101="High (best &gt;50°)",1,IF(AC101="Medium",0,IF(AC101="Low (OK)",-1,0))),0)))</f>
        <v>5</v>
      </c>
      <c r="AE101" t="str">
        <f ca="1">IF(AND(CHOOSE(MONTH(TODAY()),G101,H101,I101,J101,K101,L101,M101,N101,O101,P101,Q101,R101)="✔",AD101&gt;=7,AM101="Yes",AO101&gt;=50,OR(X101="No",X101=""),OR(E101="No",V101="Yes")),"⭐ PICK","")</f>
        <v/>
      </c>
      <c r="AI101">
        <v>20.100000000000001</v>
      </c>
      <c r="AJ101">
        <v>-21.917000000000002</v>
      </c>
      <c r="AK101" t="s">
        <v>13</v>
      </c>
      <c r="AL101" s="5">
        <f ca="1">IFERROR(MOD((AI101-(MOD(18.697374558+24.065709824419*(TODAY()-DATE(2000,1,1)+0.5)+$AZ$1/15,24)))/1.00273790935,24)/24,"")</f>
        <v>0.60022485357313848</v>
      </c>
      <c r="AM101" t="str">
        <f>IF(AO101&gt;=20,"Yes","No")</f>
        <v>No</v>
      </c>
      <c r="AN101" s="7" t="str">
        <f>IF(AM101="Yes",TEXT(AL101,"h:mm AM/PM"),"")</f>
        <v/>
      </c>
      <c r="AO101">
        <v>-9.6999999999999993</v>
      </c>
      <c r="AP101">
        <f>ROUND(MAX(0,MIN(10,(AO101-20)/6)),1)</f>
        <v>0</v>
      </c>
      <c r="AQ101" t="str">
        <f ca="1">IF(AE101="⭐ PICK","PICK at "&amp;AN101,"")</f>
        <v/>
      </c>
    </row>
    <row r="102" spans="1:43" hidden="1" x14ac:dyDescent="0.3">
      <c r="A102" t="s">
        <v>40</v>
      </c>
      <c r="B102" t="s">
        <v>200</v>
      </c>
      <c r="C102" t="s">
        <v>201</v>
      </c>
      <c r="D102" t="s">
        <v>202</v>
      </c>
      <c r="E102" t="s">
        <v>44</v>
      </c>
      <c r="I102" t="s">
        <v>45</v>
      </c>
      <c r="J102" t="s">
        <v>45</v>
      </c>
      <c r="K102" t="s">
        <v>45</v>
      </c>
      <c r="S102">
        <v>27</v>
      </c>
      <c r="W102">
        <v>5</v>
      </c>
      <c r="X102" t="str">
        <f>IF(S102="", "", IF(S102&gt;78,"Yes","No"))</f>
        <v>No</v>
      </c>
      <c r="Y102" t="s">
        <v>116</v>
      </c>
      <c r="Z102" t="s">
        <v>48</v>
      </c>
      <c r="AA102" t="s">
        <v>117</v>
      </c>
      <c r="AB102">
        <f>IF(Y102="Emission Nebula",90,IF(Y102="Reflection Nebula",75,IF(Y102="Planetary Nebula",60,IF(Y102="Galaxy",90,IF(Y102="Globular Cluster",30,IF(Y102="Open Cluster",20,IF(Y102="Comet",20,IF(Y102="Planet",10,IF(Y102="Star",5,45)))))))))</f>
        <v>90</v>
      </c>
      <c r="AC102" t="s">
        <v>49</v>
      </c>
      <c r="AD102">
        <f>MAX(1,MIN(10,ROUND((IF(S102="",5,IF(S102&lt;3,2,IF(S102&lt;10,4,IF(S102&lt;=70,8,IF(S102&lt;=100,6,4))))))+IF(Y102="Emission Nebula",2,IF(Y102="Open Cluster",2,IF(Y102="Globular Cluster",2,IF(Y102="Reflection Nebula",1,IF(Y102="Planetary Nebula",1,IF(Y102="Comet",1,0))))))+IF(Z102="High (easy)",2,IF(Z102="Medium",1,IF(Z102="Low (hard)",-1,0)))+IF(AA102="High (OK with Moon)",2,IF(AA102="Medium",0,IF(AA102="Low (needs dark)",-2,0)))+IF(AC102="High (best &gt;50°)",1,IF(AC102="Medium",0,IF(AC102="Low (OK)",-1,0))),0)))</f>
        <v>8</v>
      </c>
      <c r="AE102" t="str">
        <f ca="1">IF(AND(CHOOSE(MONTH(TODAY()),G102,H102,I102,J102,K102,L102,M102,N102,O102,P102,Q102,R102)="✔",AD102&gt;=7,OR(V102&lt;&gt;"No",V102=""),OR(X102="No",X102="")),"⭐ PICK","")</f>
        <v>⭐ PICK</v>
      </c>
      <c r="AI102">
        <v>12.367000000000001</v>
      </c>
      <c r="AJ102">
        <v>15.817</v>
      </c>
      <c r="AK102" t="s">
        <v>9</v>
      </c>
      <c r="AL102" t="s">
        <v>64</v>
      </c>
      <c r="AM102" t="s">
        <v>44</v>
      </c>
      <c r="AN102" t="s">
        <v>62</v>
      </c>
      <c r="AO102">
        <v>53</v>
      </c>
    </row>
    <row r="103" spans="1:43" hidden="1" x14ac:dyDescent="0.3">
      <c r="A103" t="s">
        <v>40</v>
      </c>
      <c r="B103" t="s">
        <v>203</v>
      </c>
      <c r="C103" t="s">
        <v>204</v>
      </c>
      <c r="D103" t="s">
        <v>202</v>
      </c>
      <c r="E103" t="s">
        <v>44</v>
      </c>
      <c r="I103" t="s">
        <v>45</v>
      </c>
      <c r="J103" t="s">
        <v>45</v>
      </c>
      <c r="K103" t="s">
        <v>45</v>
      </c>
      <c r="S103">
        <v>11</v>
      </c>
      <c r="W103">
        <v>5</v>
      </c>
      <c r="X103" t="str">
        <f>IF(S103="", "", IF(S103&gt;78,"Yes","No"))</f>
        <v>No</v>
      </c>
      <c r="Y103" t="s">
        <v>116</v>
      </c>
      <c r="Z103" t="s">
        <v>48</v>
      </c>
      <c r="AA103" t="s">
        <v>117</v>
      </c>
      <c r="AB103">
        <f>IF(Y103="Emission Nebula",90,IF(Y103="Reflection Nebula",75,IF(Y103="Planetary Nebula",60,IF(Y103="Galaxy",90,IF(Y103="Globular Cluster",30,IF(Y103="Open Cluster",20,IF(Y103="Comet",20,IF(Y103="Planet",10,IF(Y103="Star",5,45)))))))))</f>
        <v>90</v>
      </c>
      <c r="AC103" t="s">
        <v>49</v>
      </c>
      <c r="AD103">
        <f>MAX(1,MIN(10,ROUND((IF(S103="",5,IF(S103&lt;3,2,IF(S103&lt;10,4,IF(S103&lt;=70,8,IF(S103&lt;=100,6,4))))))+IF(Y103="Emission Nebula",2,IF(Y103="Open Cluster",2,IF(Y103="Globular Cluster",2,IF(Y103="Reflection Nebula",1,IF(Y103="Planetary Nebula",1,IF(Y103="Comet",1,0))))))+IF(Z103="High (easy)",2,IF(Z103="Medium",1,IF(Z103="Low (hard)",-1,0)))+IF(AA103="High (OK with Moon)",2,IF(AA103="Medium",0,IF(AA103="Low (needs dark)",-2,0)))+IF(AC103="High (best &gt;50°)",1,IF(AC103="Medium",0,IF(AC103="Low (OK)",-1,0))),0)))</f>
        <v>8</v>
      </c>
      <c r="AE103" t="str">
        <f ca="1">IF(AND(CHOOSE(MONTH(TODAY()),G103,H103,I103,J103,K103,L103,M103,N103,O103,P103,Q103,R103)="✔",AD103&gt;=7,OR(V103&lt;&gt;"No",V103=""),OR(X103="No",X103="")),"⭐ PICK","")</f>
        <v>⭐ PICK</v>
      </c>
      <c r="AI103">
        <v>14.05</v>
      </c>
      <c r="AJ103">
        <v>54.332999999999998</v>
      </c>
      <c r="AK103" t="s">
        <v>10</v>
      </c>
      <c r="AL103" t="s">
        <v>77</v>
      </c>
      <c r="AM103" t="s">
        <v>44</v>
      </c>
      <c r="AN103" t="s">
        <v>62</v>
      </c>
      <c r="AO103">
        <v>42.5</v>
      </c>
    </row>
    <row r="104" spans="1:43" x14ac:dyDescent="0.3">
      <c r="A104" t="s">
        <v>40</v>
      </c>
      <c r="B104" t="s">
        <v>67</v>
      </c>
      <c r="C104" t="s">
        <v>68</v>
      </c>
      <c r="D104" t="s">
        <v>69</v>
      </c>
      <c r="E104" t="s">
        <v>57</v>
      </c>
      <c r="G104" t="s">
        <v>45</v>
      </c>
      <c r="H104" t="s">
        <v>45</v>
      </c>
      <c r="I104" t="s">
        <v>45</v>
      </c>
      <c r="J104" t="s">
        <v>45</v>
      </c>
      <c r="K104" t="s">
        <v>45</v>
      </c>
      <c r="L104" t="s">
        <v>45</v>
      </c>
      <c r="M104" t="s">
        <v>45</v>
      </c>
      <c r="N104" t="s">
        <v>45</v>
      </c>
      <c r="O104" t="s">
        <v>45</v>
      </c>
      <c r="P104" t="s">
        <v>45</v>
      </c>
      <c r="Q104" t="s">
        <v>45</v>
      </c>
      <c r="R104" t="s">
        <v>45</v>
      </c>
      <c r="S104">
        <v>20</v>
      </c>
      <c r="X104" t="str">
        <f>IF(S104="", "", IF(S104&gt;78,"Yes","No"))</f>
        <v>No</v>
      </c>
      <c r="Y104" t="s">
        <v>70</v>
      </c>
      <c r="Z104" t="s">
        <v>47</v>
      </c>
      <c r="AA104" t="s">
        <v>56</v>
      </c>
      <c r="AB104">
        <f>IF(Y104="Emission Nebula",90,IF(Y104="Reflection Nebula",75,IF(Y104="Planetary Nebula",60,IF(Y104="Galaxy",90,IF(Y104="Globular Cluster",30,IF(Y104="Open Cluster",20,IF(Y104="Comet",20,IF(Y104="Planet",10,IF(Y104="Star",5,45)))))))))</f>
        <v>20</v>
      </c>
      <c r="AC104" t="s">
        <v>71</v>
      </c>
      <c r="AD104">
        <f>MAX(1,MIN(10,ROUND((IF(S104="",5,IF(S104&lt;3,2,IF(S104&lt;10,4,IF(S104&lt;=70,8,IF(S104&lt;=100,6,4))))))+IF(Y104="Emission Nebula",2,IF(Y104="Open Cluster",2,IF(Y104="Globular Cluster",2,IF(Y104="Reflection Nebula",1,IF(Y104="Planetary Nebula",1,IF(Y104="Comet",1,0))))))+IF(Z104="High (easy)",2,IF(Z104="Medium",1,IF(Z104="Low (hard)",-1,0)))+IF(AA104="High (OK with Moon)",2,IF(AA104="Medium",0,IF(AA104="Low (needs dark)",-2,0)))+IF(AC104="High (best &gt;50°)",1,IF(AC104="Medium",0,IF(AC104="Low (OK)",-1,0))),0)))</f>
        <v>10</v>
      </c>
      <c r="AE104" t="str">
        <f ca="1">IF(AND(CHOOSE(MONTH(TODAY()),G104,H104,I104,J104,K104,L104,M104,N104,O104,P104,Q104,R104)="✔",AD104&gt;=7,AM104="Yes",AO104&gt;=50,OR(X104="No",X104=""),OR(E104="No",V104="Yes")),"⭐ PICK","")</f>
        <v>⭐ PICK</v>
      </c>
      <c r="AI104">
        <v>1.7</v>
      </c>
      <c r="AJ104">
        <v>51.567</v>
      </c>
      <c r="AK104" t="s">
        <v>16</v>
      </c>
      <c r="AL104" s="5">
        <f ca="1">IFERROR(MOD((AI104-(MOD(18.697374558+24.065709824419*(TODAY()-DATE(2000,1,1)+0.5)+$AZ$1/15,24)))/1.00273790935,24)/24,"")</f>
        <v>0.83565151938690097</v>
      </c>
      <c r="AM104" t="str">
        <f>IF(AO104&gt;=20,"Yes","No")</f>
        <v>Yes</v>
      </c>
      <c r="AN104" s="7" t="str">
        <f ca="1">IF(AM104="Yes",TEXT(AL104,"h:mm AM/PM"),"")</f>
        <v>8:03 PM</v>
      </c>
      <c r="AO104">
        <v>71.3</v>
      </c>
      <c r="AP104">
        <f>ROUND(MAX(0,MIN(10,(AO104-20)/6)),1)</f>
        <v>8.6</v>
      </c>
      <c r="AQ104" t="str">
        <f ca="1">IF(AE104="⭐ PICK","PICK at "&amp;AN104,"")</f>
        <v>PICK at 8:03 PM</v>
      </c>
    </row>
    <row r="105" spans="1:43" x14ac:dyDescent="0.3">
      <c r="A105" t="s">
        <v>40</v>
      </c>
      <c r="B105" t="s">
        <v>170</v>
      </c>
      <c r="D105" t="s">
        <v>69</v>
      </c>
      <c r="E105" t="s">
        <v>57</v>
      </c>
      <c r="G105" t="s">
        <v>45</v>
      </c>
      <c r="H105" t="s">
        <v>45</v>
      </c>
      <c r="I105" t="s">
        <v>45</v>
      </c>
      <c r="J105" t="s">
        <v>45</v>
      </c>
      <c r="K105" t="s">
        <v>45</v>
      </c>
      <c r="L105" t="s">
        <v>45</v>
      </c>
      <c r="M105" t="s">
        <v>45</v>
      </c>
      <c r="N105" t="s">
        <v>45</v>
      </c>
      <c r="O105" t="s">
        <v>45</v>
      </c>
      <c r="P105" t="s">
        <v>45</v>
      </c>
      <c r="Q105" t="s">
        <v>45</v>
      </c>
      <c r="R105" t="s">
        <v>45</v>
      </c>
      <c r="X105" t="str">
        <f>IF(S105="", "", IF(S105&gt;78,"Yes","No"))</f>
        <v/>
      </c>
      <c r="AB105">
        <f>IF(Y105="Emission Nebula",90,IF(Y105="Reflection Nebula",75,IF(Y105="Planetary Nebula",60,IF(Y105="Galaxy",90,IF(Y105="Globular Cluster",30,IF(Y105="Open Cluster",20,IF(Y105="Comet",20,IF(Y105="Planet",10,IF(Y105="Star",5,45)))))))))</f>
        <v>45</v>
      </c>
      <c r="AD105">
        <f>MAX(1,MIN(10,ROUND((IF(S105="",5,IF(S105&lt;3,2,IF(S105&lt;10,4,IF(S105&lt;=70,8,IF(S105&lt;=100,6,4))))))+IF(Y105="Emission Nebula",2,IF(Y105="Open Cluster",2,IF(Y105="Globular Cluster",2,IF(Y105="Reflection Nebula",1,IF(Y105="Planetary Nebula",1,IF(Y105="Comet",1,0))))))+IF(Z105="High (easy)",2,IF(Z105="Medium",1,IF(Z105="Low (hard)",-1,0)))+IF(AA105="High (OK with Moon)",2,IF(AA105="Medium",0,IF(AA105="Low (needs dark)",-2,0)))+IF(AC105="High (best &gt;50°)",1,IF(AC105="Medium",0,IF(AC105="Low (OK)",-1,0))),0)))</f>
        <v>5</v>
      </c>
      <c r="AE105" t="str">
        <f ca="1">IF(AND(CHOOSE(MONTH(TODAY()),G105,H105,I105,J105,K105,L105,M105,N105,O105,P105,Q105,R105)="✔",AD105&gt;=7,AM105="Yes",AO105&gt;=50,OR(X105="No",X105=""),OR(E105="No",V105="Yes")),"⭐ PICK","")</f>
        <v/>
      </c>
      <c r="AI105">
        <v>2.7</v>
      </c>
      <c r="AJ105">
        <v>0</v>
      </c>
      <c r="AK105" t="s">
        <v>16</v>
      </c>
      <c r="AL105" s="5">
        <f ca="1">IFERROR(MOD((AI105-(MOD(18.697374558+24.065709824419*(TODAY()-DATE(2000,1,1)+0.5)+$AZ$1/15,24)))/1.00273790935,24)/24,"")</f>
        <v>0.87720441798397897</v>
      </c>
      <c r="AM105" t="str">
        <f>IF(AO105&gt;=20,"Yes","No")</f>
        <v>Yes</v>
      </c>
      <c r="AN105" s="7" t="str">
        <f ca="1">IF(AM105="Yes",TEXT(AL105,"h:mm AM/PM"),"")</f>
        <v>9:03 PM</v>
      </c>
      <c r="AO105">
        <v>57</v>
      </c>
      <c r="AP105">
        <f>ROUND(MAX(0,MIN(10,(AO105-20)/6)),1)</f>
        <v>6.2</v>
      </c>
      <c r="AQ105" t="str">
        <f ca="1">IF(AE105="⭐ PICK","PICK at "&amp;AN105,"")</f>
        <v/>
      </c>
    </row>
    <row r="106" spans="1:43" x14ac:dyDescent="0.3">
      <c r="A106" t="s">
        <v>40</v>
      </c>
      <c r="B106" t="s">
        <v>171</v>
      </c>
      <c r="D106" t="s">
        <v>69</v>
      </c>
      <c r="E106" t="s">
        <v>57</v>
      </c>
      <c r="G106" t="s">
        <v>45</v>
      </c>
      <c r="H106" t="s">
        <v>45</v>
      </c>
      <c r="I106" t="s">
        <v>45</v>
      </c>
      <c r="J106" t="s">
        <v>45</v>
      </c>
      <c r="K106" t="s">
        <v>45</v>
      </c>
      <c r="L106" t="s">
        <v>45</v>
      </c>
      <c r="M106" t="s">
        <v>45</v>
      </c>
      <c r="N106" t="s">
        <v>45</v>
      </c>
      <c r="O106" t="s">
        <v>45</v>
      </c>
      <c r="P106" t="s">
        <v>45</v>
      </c>
      <c r="Q106" t="s">
        <v>45</v>
      </c>
      <c r="R106" t="s">
        <v>45</v>
      </c>
      <c r="X106" t="str">
        <f>IF(S106="", "", IF(S106&gt;78,"Yes","No"))</f>
        <v/>
      </c>
      <c r="AB106">
        <f>IF(Y106="Emission Nebula",90,IF(Y106="Reflection Nebula",75,IF(Y106="Planetary Nebula",60,IF(Y106="Galaxy",90,IF(Y106="Globular Cluster",30,IF(Y106="Open Cluster",20,IF(Y106="Comet",20,IF(Y106="Planet",10,IF(Y106="Star",5,45)))))))))</f>
        <v>45</v>
      </c>
      <c r="AD106">
        <f>MAX(1,MIN(10,ROUND((IF(S106="",5,IF(S106&lt;3,2,IF(S106&lt;10,4,IF(S106&lt;=70,8,IF(S106&lt;=100,6,4))))))+IF(Y106="Emission Nebula",2,IF(Y106="Open Cluster",2,IF(Y106="Globular Cluster",2,IF(Y106="Reflection Nebula",1,IF(Y106="Planetary Nebula",1,IF(Y106="Comet",1,0))))))+IF(Z106="High (easy)",2,IF(Z106="Medium",1,IF(Z106="Low (hard)",-1,0)))+IF(AA106="High (OK with Moon)",2,IF(AA106="Medium",0,IF(AA106="Low (needs dark)",-2,0)))+IF(AC106="High (best &gt;50°)",1,IF(AC106="Medium",0,IF(AC106="Low (OK)",-1,0))),0)))</f>
        <v>5</v>
      </c>
      <c r="AE106" t="str">
        <f ca="1">IF(AND(CHOOSE(MONTH(TODAY()),G106,H106,I106,J106,K106,L106,M106,N106,O106,P106,Q106,R106)="✔",AD106&gt;=7,AM106="Yes",AO106&gt;=50,OR(X106="No",X106=""),OR(E106="No",V106="Yes")),"⭐ PICK","")</f>
        <v/>
      </c>
      <c r="AI106">
        <v>5.7670000000000003</v>
      </c>
      <c r="AJ106">
        <v>6.7000000000000004E-2</v>
      </c>
      <c r="AK106" t="s">
        <v>6</v>
      </c>
      <c r="AL106" s="5">
        <f ca="1">IFERROR(MOD((AI106-(MOD(18.697374558+24.065709824419*(TODAY()-DATE(2000,1,1)+0.5)+$AZ$1/15,24)))/1.00273790935,24)/24,"")</f>
        <v>4.6471579812176764E-3</v>
      </c>
      <c r="AM106" t="str">
        <f>IF(AO106&gt;=20,"Yes","No")</f>
        <v>Yes</v>
      </c>
      <c r="AN106" s="7" t="str">
        <f ca="1">IF(AM106="Yes",TEXT(AL106,"h:mm AM/PM"),"")</f>
        <v>12:06 AM</v>
      </c>
      <c r="AO106">
        <v>57.1</v>
      </c>
      <c r="AP106">
        <f>ROUND(MAX(0,MIN(10,(AO106-20)/6)),1)</f>
        <v>6.2</v>
      </c>
      <c r="AQ106" t="str">
        <f ca="1">IF(AE106="⭐ PICK","PICK at "&amp;AN106,"")</f>
        <v/>
      </c>
    </row>
    <row r="107" spans="1:43" x14ac:dyDescent="0.3">
      <c r="A107" t="s">
        <v>40</v>
      </c>
      <c r="B107" t="s">
        <v>172</v>
      </c>
      <c r="D107" t="s">
        <v>69</v>
      </c>
      <c r="E107" t="s">
        <v>57</v>
      </c>
      <c r="G107" t="s">
        <v>45</v>
      </c>
      <c r="H107" t="s">
        <v>45</v>
      </c>
      <c r="I107" t="s">
        <v>45</v>
      </c>
      <c r="J107" t="s">
        <v>45</v>
      </c>
      <c r="K107" t="s">
        <v>45</v>
      </c>
      <c r="L107" t="s">
        <v>45</v>
      </c>
      <c r="M107" t="s">
        <v>45</v>
      </c>
      <c r="N107" t="s">
        <v>45</v>
      </c>
      <c r="O107" t="s">
        <v>45</v>
      </c>
      <c r="P107" t="s">
        <v>45</v>
      </c>
      <c r="Q107" t="s">
        <v>45</v>
      </c>
      <c r="R107" t="s">
        <v>45</v>
      </c>
      <c r="X107" t="str">
        <f>IF(S107="", "", IF(S107&gt;78,"Yes","No"))</f>
        <v/>
      </c>
      <c r="AB107">
        <f>IF(Y107="Emission Nebula",90,IF(Y107="Reflection Nebula",75,IF(Y107="Planetary Nebula",60,IF(Y107="Galaxy",90,IF(Y107="Globular Cluster",30,IF(Y107="Open Cluster",20,IF(Y107="Comet",20,IF(Y107="Planet",10,IF(Y107="Star",5,45)))))))))</f>
        <v>45</v>
      </c>
      <c r="AD107">
        <f>MAX(1,MIN(10,ROUND((IF(S107="",5,IF(S107&lt;3,2,IF(S107&lt;10,4,IF(S107&lt;=70,8,IF(S107&lt;=100,6,4))))))+IF(Y107="Emission Nebula",2,IF(Y107="Open Cluster",2,IF(Y107="Globular Cluster",2,IF(Y107="Reflection Nebula",1,IF(Y107="Planetary Nebula",1,IF(Y107="Comet",1,0))))))+IF(Z107="High (easy)",2,IF(Z107="Medium",1,IF(Z107="Low (hard)",-1,0)))+IF(AA107="High (OK with Moon)",2,IF(AA107="Medium",0,IF(AA107="Low (needs dark)",-2,0)))+IF(AC107="High (best &gt;50°)",1,IF(AC107="Medium",0,IF(AC107="Low (OK)",-1,0))),0)))</f>
        <v>5</v>
      </c>
      <c r="AE107" t="str">
        <f ca="1">IF(AND(CHOOSE(MONTH(TODAY()),G107,H107,I107,J107,K107,L107,M107,N107,O107,P107,Q107,R107)="✔",AD107&gt;=7,AM107="Yes",AO107&gt;=50,OR(X107="No",X107=""),OR(E107="No",V107="Yes")),"⭐ PICK","")</f>
        <v/>
      </c>
      <c r="AI107">
        <v>5.4</v>
      </c>
      <c r="AJ107">
        <v>-24.516999999999999</v>
      </c>
      <c r="AK107" t="s">
        <v>6</v>
      </c>
      <c r="AL107" s="5">
        <f ca="1">IFERROR(MOD((AI107-(MOD(18.697374558+24.065709824419*(TODAY()-DATE(2000,1,1)+0.5)+$AZ$1/15,24)))/1.00273790935,24)/24,"")</f>
        <v>0.98939724419608999</v>
      </c>
      <c r="AM107" t="str">
        <f>IF(AO107&gt;=20,"Yes","No")</f>
        <v>Yes</v>
      </c>
      <c r="AN107" s="7" t="str">
        <f ca="1">IF(AM107="Yes",TEXT(AL107,"h:mm AM/PM"),"")</f>
        <v>11:44 PM</v>
      </c>
      <c r="AO107">
        <v>32.5</v>
      </c>
      <c r="AP107">
        <f>ROUND(MAX(0,MIN(10,(AO107-20)/6)),1)</f>
        <v>2.1</v>
      </c>
      <c r="AQ107" t="str">
        <f ca="1">IF(AE107="⭐ PICK","PICK at "&amp;AN107,"")</f>
        <v/>
      </c>
    </row>
    <row r="108" spans="1:43" x14ac:dyDescent="0.3">
      <c r="A108" t="s">
        <v>40</v>
      </c>
      <c r="B108" t="s">
        <v>177</v>
      </c>
      <c r="C108" t="s">
        <v>178</v>
      </c>
      <c r="D108" t="s">
        <v>179</v>
      </c>
      <c r="E108" t="s">
        <v>57</v>
      </c>
      <c r="I108" t="s">
        <v>45</v>
      </c>
      <c r="J108" t="s">
        <v>45</v>
      </c>
      <c r="K108" t="s">
        <v>45</v>
      </c>
      <c r="L108" t="s">
        <v>45</v>
      </c>
      <c r="S108">
        <v>10</v>
      </c>
      <c r="X108" t="str">
        <f>IF(S108="", "", IF(S108&gt;78,"Yes","No"))</f>
        <v>No</v>
      </c>
      <c r="Y108" t="s">
        <v>116</v>
      </c>
      <c r="Z108" t="s">
        <v>48</v>
      </c>
      <c r="AA108" t="s">
        <v>117</v>
      </c>
      <c r="AB108">
        <f>IF(Y108="Emission Nebula",90,IF(Y108="Reflection Nebula",75,IF(Y108="Planetary Nebula",60,IF(Y108="Galaxy",90,IF(Y108="Globular Cluster",30,IF(Y108="Open Cluster",20,IF(Y108="Comet",20,IF(Y108="Planet",10,IF(Y108="Star",5,45)))))))))</f>
        <v>90</v>
      </c>
      <c r="AC108" t="s">
        <v>49</v>
      </c>
      <c r="AD108">
        <f>MAX(1,MIN(10,ROUND((IF(S108="",5,IF(S108&lt;3,2,IF(S108&lt;10,4,IF(S108&lt;=70,8,IF(S108&lt;=100,6,4))))))+IF(Y108="Emission Nebula",2,IF(Y108="Open Cluster",2,IF(Y108="Globular Cluster",2,IF(Y108="Reflection Nebula",1,IF(Y108="Planetary Nebula",1,IF(Y108="Comet",1,0))))))+IF(Z108="High (easy)",2,IF(Z108="Medium",1,IF(Z108="Low (hard)",-1,0)))+IF(AA108="High (OK with Moon)",2,IF(AA108="Medium",0,IF(AA108="Low (needs dark)",-2,0)))+IF(AC108="High (best &gt;50°)",1,IF(AC108="Medium",0,IF(AC108="Low (OK)",-1,0))),0)))</f>
        <v>8</v>
      </c>
      <c r="AE108" t="str">
        <f ca="1">IF(AND(CHOOSE(MONTH(TODAY()),G108,H108,I108,J108,K108,L108,M108,N108,O108,P108,Q108,R108)="✔",AD108&gt;=7,AM108="Yes",AO108&gt;=50,OR(X108="No",X108=""),OR(E108="No",V108="Yes")),"⭐ PICK","")</f>
        <v>⭐ PICK</v>
      </c>
      <c r="AI108">
        <v>9.9169999999999998</v>
      </c>
      <c r="AJ108">
        <v>69.667000000000002</v>
      </c>
      <c r="AK108" t="s">
        <v>8</v>
      </c>
      <c r="AL108" s="5">
        <f ca="1">IFERROR(MOD((AI108-(MOD(18.697374558+24.065709824419*(TODAY()-DATE(2000,1,1)+0.5)+$AZ$1/15,24)))/1.00273790935,24)/24,"")</f>
        <v>0.17709168715909188</v>
      </c>
      <c r="AM108" t="str">
        <f>IF(AO108&gt;=20,"Yes","No")</f>
        <v>Yes</v>
      </c>
      <c r="AN108" s="7" t="str">
        <f ca="1">IF(AM108="Yes",TEXT(AL108,"h:mm AM/PM"),"")</f>
        <v>4:15 AM</v>
      </c>
      <c r="AO108">
        <v>53.3</v>
      </c>
      <c r="AP108">
        <f>ROUND(MAX(0,MIN(10,(AO108-20)/6)),1)</f>
        <v>5.6</v>
      </c>
      <c r="AQ108" t="str">
        <f ca="1">IF(AE108="⭐ PICK","PICK at "&amp;AN108,"")</f>
        <v>PICK at 4:15 AM</v>
      </c>
    </row>
    <row r="109" spans="1:43" x14ac:dyDescent="0.3">
      <c r="A109" t="s">
        <v>40</v>
      </c>
      <c r="B109" t="s">
        <v>180</v>
      </c>
      <c r="C109" t="s">
        <v>178</v>
      </c>
      <c r="D109" t="s">
        <v>179</v>
      </c>
      <c r="E109" t="s">
        <v>57</v>
      </c>
      <c r="I109" t="s">
        <v>45</v>
      </c>
      <c r="J109" t="s">
        <v>45</v>
      </c>
      <c r="K109" t="s">
        <v>45</v>
      </c>
      <c r="L109" t="s">
        <v>45</v>
      </c>
      <c r="S109">
        <v>10</v>
      </c>
      <c r="X109" t="str">
        <f>IF(S109="", "", IF(S109&gt;78,"Yes","No"))</f>
        <v>No</v>
      </c>
      <c r="Y109" t="s">
        <v>116</v>
      </c>
      <c r="Z109" t="s">
        <v>48</v>
      </c>
      <c r="AA109" t="s">
        <v>117</v>
      </c>
      <c r="AB109">
        <f>IF(Y109="Emission Nebula",90,IF(Y109="Reflection Nebula",75,IF(Y109="Planetary Nebula",60,IF(Y109="Galaxy",90,IF(Y109="Globular Cluster",30,IF(Y109="Open Cluster",20,IF(Y109="Comet",20,IF(Y109="Planet",10,IF(Y109="Star",5,45)))))))))</f>
        <v>90</v>
      </c>
      <c r="AC109" t="s">
        <v>49</v>
      </c>
      <c r="AD109">
        <f>MAX(1,MIN(10,ROUND((IF(S109="",5,IF(S109&lt;3,2,IF(S109&lt;10,4,IF(S109&lt;=70,8,IF(S109&lt;=100,6,4))))))+IF(Y109="Emission Nebula",2,IF(Y109="Open Cluster",2,IF(Y109="Globular Cluster",2,IF(Y109="Reflection Nebula",1,IF(Y109="Planetary Nebula",1,IF(Y109="Comet",1,0))))))+IF(Z109="High (easy)",2,IF(Z109="Medium",1,IF(Z109="Low (hard)",-1,0)))+IF(AA109="High (OK with Moon)",2,IF(AA109="Medium",0,IF(AA109="Low (needs dark)",-2,0)))+IF(AC109="High (best &gt;50°)",1,IF(AC109="Medium",0,IF(AC109="Low (OK)",-1,0))),0)))</f>
        <v>8</v>
      </c>
      <c r="AE109" t="str">
        <f ca="1">IF(AND(CHOOSE(MONTH(TODAY()),G109,H109,I109,J109,K109,L109,M109,N109,O109,P109,Q109,R109)="✔",AD109&gt;=7,AM109="Yes",AO109&gt;=50,OR(X109="No",X109=""),OR(E109="No",V109="Yes")),"⭐ PICK","")</f>
        <v/>
      </c>
      <c r="AI109">
        <v>13.617000000000001</v>
      </c>
      <c r="AJ109">
        <v>-29.85</v>
      </c>
      <c r="AK109" t="s">
        <v>10</v>
      </c>
      <c r="AL109" s="5">
        <f ca="1">IFERROR(MOD((AI109-(MOD(18.697374558+24.065709824419*(TODAY()-DATE(2000,1,1)+0.5)+$AZ$1/15,24)))/1.00273790935,24)/24,"")</f>
        <v>0.33083741196828098</v>
      </c>
      <c r="AM109" t="str">
        <f>IF(AO109&gt;=20,"Yes","No")</f>
        <v>No</v>
      </c>
      <c r="AN109" s="7" t="str">
        <f>IF(AM109="Yes",TEXT(AL109,"h:mm AM/PM"),"")</f>
        <v/>
      </c>
      <c r="AO109">
        <v>8.4</v>
      </c>
      <c r="AP109">
        <f>ROUND(MAX(0,MIN(10,(AO109-20)/6)),1)</f>
        <v>0</v>
      </c>
      <c r="AQ109" t="str">
        <f ca="1">IF(AE109="⭐ PICK","PICK at "&amp;AN109,"")</f>
        <v/>
      </c>
    </row>
    <row r="110" spans="1:43" x14ac:dyDescent="0.3">
      <c r="A110" t="s">
        <v>40</v>
      </c>
      <c r="B110" t="s">
        <v>183</v>
      </c>
      <c r="D110" t="s">
        <v>69</v>
      </c>
      <c r="E110" t="s">
        <v>57</v>
      </c>
      <c r="G110" t="s">
        <v>45</v>
      </c>
      <c r="H110" t="s">
        <v>45</v>
      </c>
      <c r="I110" t="s">
        <v>45</v>
      </c>
      <c r="J110" t="s">
        <v>45</v>
      </c>
      <c r="K110" t="s">
        <v>45</v>
      </c>
      <c r="L110" t="s">
        <v>45</v>
      </c>
      <c r="M110" t="s">
        <v>45</v>
      </c>
      <c r="N110" t="s">
        <v>45</v>
      </c>
      <c r="O110" t="s">
        <v>45</v>
      </c>
      <c r="P110" t="s">
        <v>45</v>
      </c>
      <c r="Q110" t="s">
        <v>45</v>
      </c>
      <c r="R110" t="s">
        <v>45</v>
      </c>
      <c r="X110" t="str">
        <f>IF(S110="", "", IF(S110&gt;78,"Yes","No"))</f>
        <v/>
      </c>
      <c r="AB110">
        <f>IF(Y110="Emission Nebula",90,IF(Y110="Reflection Nebula",75,IF(Y110="Planetary Nebula",60,IF(Y110="Galaxy",90,IF(Y110="Globular Cluster",30,IF(Y110="Open Cluster",20,IF(Y110="Comet",20,IF(Y110="Planet",10,IF(Y110="Star",5,45)))))))))</f>
        <v>45</v>
      </c>
      <c r="AD110">
        <f>MAX(1,MIN(10,ROUND((IF(S110="",5,IF(S110&lt;3,2,IF(S110&lt;10,4,IF(S110&lt;=70,8,IF(S110&lt;=100,6,4))))))+IF(Y110="Emission Nebula",2,IF(Y110="Open Cluster",2,IF(Y110="Globular Cluster",2,IF(Y110="Reflection Nebula",1,IF(Y110="Planetary Nebula",1,IF(Y110="Comet",1,0))))))+IF(Z110="High (easy)",2,IF(Z110="Medium",1,IF(Z110="Low (hard)",-1,0)))+IF(AA110="High (OK with Moon)",2,IF(AA110="Medium",0,IF(AA110="Low (needs dark)",-2,0)))+IF(AC110="High (best &gt;50°)",1,IF(AC110="Medium",0,IF(AC110="Low (OK)",-1,0))),0)))</f>
        <v>5</v>
      </c>
      <c r="AE110" t="str">
        <f ca="1">IF(AND(CHOOSE(MONTH(TODAY()),G110,H110,I110,J110,K110,L110,M110,N110,O110,P110,Q110,R110)="✔",AD110&gt;=7,AM110="Yes",AO110&gt;=50,OR(X110="No",X110=""),OR(E110="No",V110="Yes")),"⭐ PICK","")</f>
        <v/>
      </c>
      <c r="AI110">
        <v>12.417</v>
      </c>
      <c r="AJ110">
        <v>18.183</v>
      </c>
      <c r="AK110" t="s">
        <v>9</v>
      </c>
      <c r="AL110" s="5">
        <f ca="1">IFERROR(MOD((AI110-(MOD(18.697374558+24.065709824419*(TODAY()-DATE(2000,1,1)+0.5)+$AZ$1/15,24)))/1.00273790935,24)/24,"")</f>
        <v>0.28097393365178719</v>
      </c>
      <c r="AM110" t="str">
        <f>IF(AO110&gt;=20,"Yes","No")</f>
        <v>Yes</v>
      </c>
      <c r="AN110" s="7" t="str">
        <f ca="1">IF(AM110="Yes",TEXT(AL110,"h:mm AM/PM"),"")</f>
        <v>6:44 AM</v>
      </c>
      <c r="AO110">
        <v>53.7</v>
      </c>
      <c r="AP110">
        <f>ROUND(MAX(0,MIN(10,(AO110-20)/6)),1)</f>
        <v>5.6</v>
      </c>
      <c r="AQ110" t="str">
        <f ca="1">IF(AE110="⭐ PICK","PICK at "&amp;AN110,"")</f>
        <v/>
      </c>
    </row>
    <row r="111" spans="1:43" x14ac:dyDescent="0.3">
      <c r="A111" t="s">
        <v>40</v>
      </c>
      <c r="B111" t="s">
        <v>184</v>
      </c>
      <c r="D111" t="s">
        <v>69</v>
      </c>
      <c r="E111" t="s">
        <v>57</v>
      </c>
      <c r="G111" t="s">
        <v>45</v>
      </c>
      <c r="H111" t="s">
        <v>45</v>
      </c>
      <c r="I111" t="s">
        <v>45</v>
      </c>
      <c r="J111" t="s">
        <v>45</v>
      </c>
      <c r="K111" t="s">
        <v>45</v>
      </c>
      <c r="L111" t="s">
        <v>45</v>
      </c>
      <c r="M111" t="s">
        <v>45</v>
      </c>
      <c r="N111" t="s">
        <v>45</v>
      </c>
      <c r="O111" t="s">
        <v>45</v>
      </c>
      <c r="P111" t="s">
        <v>45</v>
      </c>
      <c r="Q111" t="s">
        <v>45</v>
      </c>
      <c r="R111" t="s">
        <v>45</v>
      </c>
      <c r="X111" t="str">
        <f>IF(S111="", "", IF(S111&gt;78,"Yes","No"))</f>
        <v/>
      </c>
      <c r="AB111">
        <f>IF(Y111="Emission Nebula",90,IF(Y111="Reflection Nebula",75,IF(Y111="Planetary Nebula",60,IF(Y111="Galaxy",90,IF(Y111="Globular Cluster",30,IF(Y111="Open Cluster",20,IF(Y111="Comet",20,IF(Y111="Planet",10,IF(Y111="Star",5,45)))))))))</f>
        <v>45</v>
      </c>
      <c r="AD111">
        <f>MAX(1,MIN(10,ROUND((IF(S111="",5,IF(S111&lt;3,2,IF(S111&lt;10,4,IF(S111&lt;=70,8,IF(S111&lt;=100,6,4))))))+IF(Y111="Emission Nebula",2,IF(Y111="Open Cluster",2,IF(Y111="Globular Cluster",2,IF(Y111="Reflection Nebula",1,IF(Y111="Planetary Nebula",1,IF(Y111="Comet",1,0))))))+IF(Z111="High (easy)",2,IF(Z111="Medium",1,IF(Z111="Low (hard)",-1,0)))+IF(AA111="High (OK with Moon)",2,IF(AA111="Medium",0,IF(AA111="Low (needs dark)",-2,0)))+IF(AC111="High (best &gt;50°)",1,IF(AC111="Medium",0,IF(AC111="Low (OK)",-1,0))),0)))</f>
        <v>5</v>
      </c>
      <c r="AE111" t="str">
        <f ca="1">IF(AND(CHOOSE(MONTH(TODAY()),G111,H111,I111,J111,K111,L111,M111,N111,O111,P111,Q111,R111)="✔",AD111&gt;=7,AM111="Yes",AO111&gt;=50,OR(X111="No",X111=""),OR(E111="No",V111="Yes")),"⭐ PICK","")</f>
        <v/>
      </c>
      <c r="AI111">
        <v>12.433</v>
      </c>
      <c r="AJ111">
        <v>12.933</v>
      </c>
      <c r="AK111" t="s">
        <v>9</v>
      </c>
      <c r="AL111" s="5">
        <f ca="1">IFERROR(MOD((AI111-(MOD(18.697374558+24.065709824419*(TODAY()-DATE(2000,1,1)+0.5)+$AZ$1/15,24)))/1.00273790935,24)/24,"")</f>
        <v>0.28163878002934045</v>
      </c>
      <c r="AM111" t="str">
        <f>IF(AO111&gt;=20,"Yes","No")</f>
        <v>Yes</v>
      </c>
      <c r="AN111" s="7" t="str">
        <f ca="1">IF(AM111="Yes",TEXT(AL111,"h:mm AM/PM"),"")</f>
        <v>6:45 AM</v>
      </c>
      <c r="AO111">
        <v>50.6</v>
      </c>
      <c r="AP111">
        <f>ROUND(MAX(0,MIN(10,(AO111-20)/6)),1)</f>
        <v>5.0999999999999996</v>
      </c>
      <c r="AQ111" t="str">
        <f ca="1">IF(AE111="⭐ PICK","PICK at "&amp;AN111,"")</f>
        <v/>
      </c>
    </row>
    <row r="112" spans="1:43" x14ac:dyDescent="0.3">
      <c r="A112" t="s">
        <v>40</v>
      </c>
      <c r="B112" t="s">
        <v>72</v>
      </c>
      <c r="C112" t="s">
        <v>73</v>
      </c>
      <c r="D112" t="s">
        <v>69</v>
      </c>
      <c r="E112" t="s">
        <v>57</v>
      </c>
      <c r="G112" t="s">
        <v>45</v>
      </c>
      <c r="H112" t="s">
        <v>45</v>
      </c>
      <c r="I112" t="s">
        <v>45</v>
      </c>
      <c r="J112" t="s">
        <v>45</v>
      </c>
      <c r="K112" t="s">
        <v>45</v>
      </c>
      <c r="L112" t="s">
        <v>45</v>
      </c>
      <c r="M112" t="s">
        <v>45</v>
      </c>
      <c r="N112" t="s">
        <v>45</v>
      </c>
      <c r="O112" t="s">
        <v>45</v>
      </c>
      <c r="P112" t="s">
        <v>45</v>
      </c>
      <c r="Q112" t="s">
        <v>45</v>
      </c>
      <c r="R112" t="s">
        <v>45</v>
      </c>
      <c r="S112">
        <v>20</v>
      </c>
      <c r="X112" t="str">
        <f>IF(S112="", "", IF(S112&gt;78,"Yes","No"))</f>
        <v>No</v>
      </c>
      <c r="Y112" t="s">
        <v>70</v>
      </c>
      <c r="Z112" t="s">
        <v>47</v>
      </c>
      <c r="AA112" t="s">
        <v>56</v>
      </c>
      <c r="AB112">
        <f>IF(Y112="Emission Nebula",90,IF(Y112="Reflection Nebula",75,IF(Y112="Planetary Nebula",60,IF(Y112="Galaxy",90,IF(Y112="Globular Cluster",30,IF(Y112="Open Cluster",20,IF(Y112="Comet",20,IF(Y112="Planet",10,IF(Y112="Star",5,45)))))))))</f>
        <v>20</v>
      </c>
      <c r="AC112" t="s">
        <v>71</v>
      </c>
      <c r="AD112">
        <f>MAX(1,MIN(10,ROUND((IF(S112="",5,IF(S112&lt;3,2,IF(S112&lt;10,4,IF(S112&lt;=70,8,IF(S112&lt;=100,6,4))))))+IF(Y112="Emission Nebula",2,IF(Y112="Open Cluster",2,IF(Y112="Globular Cluster",2,IF(Y112="Reflection Nebula",1,IF(Y112="Planetary Nebula",1,IF(Y112="Comet",1,0))))))+IF(Z112="High (easy)",2,IF(Z112="Medium",1,IF(Z112="Low (hard)",-1,0)))+IF(AA112="High (OK with Moon)",2,IF(AA112="Medium",0,IF(AA112="Low (needs dark)",-2,0)))+IF(AC112="High (best &gt;50°)",1,IF(AC112="Medium",0,IF(AC112="Low (OK)",-1,0))),0)))</f>
        <v>10</v>
      </c>
      <c r="AE112" t="str">
        <f ca="1">IF(AND(CHOOSE(MONTH(TODAY()),G112,H112,I112,J112,K112,L112,M112,N112,O112,P112,Q112,R112)="✔",AD112&gt;=7,AM112="Yes",AO112&gt;=50,OR(X112="No",X112=""),OR(E112="No",V112="Yes")),"⭐ PICK","")</f>
        <v/>
      </c>
      <c r="AI112">
        <v>12.5</v>
      </c>
      <c r="AJ112">
        <v>12.382999999999999</v>
      </c>
      <c r="AK112" t="s">
        <v>9</v>
      </c>
      <c r="AL112" s="5">
        <f ca="1">IFERROR(MOD((AI112-(MOD(18.697374558+24.065709824419*(TODAY()-DATE(2000,1,1)+0.5)+$AZ$1/15,24)))/1.00273790935,24)/24,"")</f>
        <v>0.28442282423534465</v>
      </c>
      <c r="AM112" t="str">
        <f>IF(AO112&gt;=20,"Yes","No")</f>
        <v>Yes</v>
      </c>
      <c r="AN112" s="7" t="str">
        <f ca="1">IF(AM112="Yes",TEXT(AL112,"h:mm AM/PM"),"")</f>
        <v>6:49 AM</v>
      </c>
      <c r="AO112">
        <v>49.5</v>
      </c>
      <c r="AP112">
        <f>ROUND(MAX(0,MIN(10,(AO112-20)/6)),1)</f>
        <v>4.9000000000000004</v>
      </c>
      <c r="AQ112" t="str">
        <f ca="1">IF(AE112="⭐ PICK","PICK at "&amp;AN112,"")</f>
        <v/>
      </c>
    </row>
    <row r="113" spans="1:43" x14ac:dyDescent="0.3">
      <c r="A113" t="s">
        <v>40</v>
      </c>
      <c r="B113" t="s">
        <v>185</v>
      </c>
      <c r="D113" t="s">
        <v>69</v>
      </c>
      <c r="E113" t="s">
        <v>57</v>
      </c>
      <c r="G113" t="s">
        <v>45</v>
      </c>
      <c r="H113" t="s">
        <v>45</v>
      </c>
      <c r="I113" t="s">
        <v>45</v>
      </c>
      <c r="J113" t="s">
        <v>45</v>
      </c>
      <c r="K113" t="s">
        <v>45</v>
      </c>
      <c r="L113" t="s">
        <v>45</v>
      </c>
      <c r="M113" t="s">
        <v>45</v>
      </c>
      <c r="N113" t="s">
        <v>45</v>
      </c>
      <c r="O113" t="s">
        <v>45</v>
      </c>
      <c r="P113" t="s">
        <v>45</v>
      </c>
      <c r="Q113" t="s">
        <v>45</v>
      </c>
      <c r="R113" t="s">
        <v>45</v>
      </c>
      <c r="X113" t="str">
        <f>IF(S113="", "", IF(S113&gt;78,"Yes","No"))</f>
        <v/>
      </c>
      <c r="AB113">
        <f>IF(Y113="Emission Nebula",90,IF(Y113="Reflection Nebula",75,IF(Y113="Planetary Nebula",60,IF(Y113="Galaxy",90,IF(Y113="Globular Cluster",30,IF(Y113="Open Cluster",20,IF(Y113="Comet",20,IF(Y113="Planet",10,IF(Y113="Star",5,45)))))))))</f>
        <v>45</v>
      </c>
      <c r="AD113">
        <f>MAX(1,MIN(10,ROUND((IF(S113="",5,IF(S113&lt;3,2,IF(S113&lt;10,4,IF(S113&lt;=70,8,IF(S113&lt;=100,6,4))))))+IF(Y113="Emission Nebula",2,IF(Y113="Open Cluster",2,IF(Y113="Globular Cluster",2,IF(Y113="Reflection Nebula",1,IF(Y113="Planetary Nebula",1,IF(Y113="Comet",1,0))))))+IF(Z113="High (easy)",2,IF(Z113="Medium",1,IF(Z113="Low (hard)",-1,0)))+IF(AA113="High (OK with Moon)",2,IF(AA113="Medium",0,IF(AA113="Low (needs dark)",-2,0)))+IF(AC113="High (best &gt;50°)",1,IF(AC113="Medium",0,IF(AC113="Low (OK)",-1,0))),0)))</f>
        <v>5</v>
      </c>
      <c r="AE113" t="str">
        <f ca="1">IF(AND(CHOOSE(MONTH(TODAY()),G113,H113,I113,J113,K113,L113,M113,N113,O113,P113,Q113,R113)="✔",AD113&gt;=7,AM113="Yes",AO113&gt;=50,OR(X113="No",X113=""),OR(E113="No",V113="Yes")),"⭐ PICK","")</f>
        <v/>
      </c>
      <c r="AI113">
        <v>12.516999999999999</v>
      </c>
      <c r="AJ113">
        <v>14.417</v>
      </c>
      <c r="AK113" t="s">
        <v>9</v>
      </c>
      <c r="AL113" s="5">
        <f ca="1">IFERROR(MOD((AI113-(MOD(18.697374558+24.065709824419*(TODAY()-DATE(2000,1,1)+0.5)+$AZ$1/15,24)))/1.00273790935,24)/24,"")</f>
        <v>0.285129223511495</v>
      </c>
      <c r="AM113" t="str">
        <f>IF(AO113&gt;=20,"Yes","No")</f>
        <v>Yes</v>
      </c>
      <c r="AN113" s="7" t="str">
        <f ca="1">IF(AM113="Yes",TEXT(AL113,"h:mm AM/PM"),"")</f>
        <v>6:50 AM</v>
      </c>
      <c r="AO113">
        <v>50.4</v>
      </c>
      <c r="AP113">
        <f>ROUND(MAX(0,MIN(10,(AO113-20)/6)),1)</f>
        <v>5.0999999999999996</v>
      </c>
      <c r="AQ113" t="str">
        <f ca="1">IF(AE113="⭐ PICK","PICK at "&amp;AN113,"")</f>
        <v/>
      </c>
    </row>
    <row r="114" spans="1:43" x14ac:dyDescent="0.3">
      <c r="A114" t="s">
        <v>40</v>
      </c>
      <c r="B114" t="s">
        <v>186</v>
      </c>
      <c r="D114" t="s">
        <v>69</v>
      </c>
      <c r="E114" t="s">
        <v>57</v>
      </c>
      <c r="G114" t="s">
        <v>45</v>
      </c>
      <c r="H114" t="s">
        <v>45</v>
      </c>
      <c r="I114" t="s">
        <v>45</v>
      </c>
      <c r="J114" t="s">
        <v>45</v>
      </c>
      <c r="K114" t="s">
        <v>45</v>
      </c>
      <c r="L114" t="s">
        <v>45</v>
      </c>
      <c r="M114" t="s">
        <v>45</v>
      </c>
      <c r="N114" t="s">
        <v>45</v>
      </c>
      <c r="O114" t="s">
        <v>45</v>
      </c>
      <c r="P114" t="s">
        <v>45</v>
      </c>
      <c r="Q114" t="s">
        <v>45</v>
      </c>
      <c r="R114" t="s">
        <v>45</v>
      </c>
      <c r="X114" t="str">
        <f>IF(S114="", "", IF(S114&gt;78,"Yes","No"))</f>
        <v/>
      </c>
      <c r="AB114">
        <f>IF(Y114="Emission Nebula",90,IF(Y114="Reflection Nebula",75,IF(Y114="Planetary Nebula",60,IF(Y114="Galaxy",90,IF(Y114="Globular Cluster",30,IF(Y114="Open Cluster",20,IF(Y114="Comet",20,IF(Y114="Planet",10,IF(Y114="Star",5,45)))))))))</f>
        <v>45</v>
      </c>
      <c r="AD114">
        <f>MAX(1,MIN(10,ROUND((IF(S114="",5,IF(S114&lt;3,2,IF(S114&lt;10,4,IF(S114&lt;=70,8,IF(S114&lt;=100,6,4))))))+IF(Y114="Emission Nebula",2,IF(Y114="Open Cluster",2,IF(Y114="Globular Cluster",2,IF(Y114="Reflection Nebula",1,IF(Y114="Planetary Nebula",1,IF(Y114="Comet",1,0))))))+IF(Z114="High (easy)",2,IF(Z114="Medium",1,IF(Z114="Low (hard)",-1,0)))+IF(AA114="High (OK with Moon)",2,IF(AA114="Medium",0,IF(AA114="Low (needs dark)",-2,0)))+IF(AC114="High (best &gt;50°)",1,IF(AC114="Medium",0,IF(AC114="Low (OK)",-1,0))),0)))</f>
        <v>5</v>
      </c>
      <c r="AE114" t="str">
        <f ca="1">IF(AND(CHOOSE(MONTH(TODAY()),G114,H114,I114,J114,K114,L114,M114,N114,O114,P114,Q114,R114)="✔",AD114&gt;=7,AM114="Yes",AO114&gt;=50,OR(X114="No",X114=""),OR(E114="No",V114="Yes")),"⭐ PICK","")</f>
        <v/>
      </c>
      <c r="AI114">
        <v>12.583</v>
      </c>
      <c r="AJ114">
        <v>12.55</v>
      </c>
      <c r="AK114" t="s">
        <v>9</v>
      </c>
      <c r="AL114" s="5">
        <f ca="1">IFERROR(MOD((AI114-(MOD(18.697374558+24.065709824419*(TODAY()-DATE(2000,1,1)+0.5)+$AZ$1/15,24)))/1.00273790935,24)/24,"")</f>
        <v>0.28787171481890217</v>
      </c>
      <c r="AM114" t="str">
        <f>IF(AO114&gt;=20,"Yes","No")</f>
        <v>Yes</v>
      </c>
      <c r="AN114" s="7" t="str">
        <f ca="1">IF(AM114="Yes",TEXT(AL114,"h:mm AM/PM"),"")</f>
        <v>6:54 AM</v>
      </c>
      <c r="AO114">
        <v>48.6</v>
      </c>
      <c r="AP114">
        <f>ROUND(MAX(0,MIN(10,(AO114-20)/6)),1)</f>
        <v>4.8</v>
      </c>
      <c r="AQ114" t="str">
        <f ca="1">IF(AE114="⭐ PICK","PICK at "&amp;AN114,"")</f>
        <v/>
      </c>
    </row>
    <row r="115" spans="1:43" hidden="1" x14ac:dyDescent="0.3">
      <c r="A115" t="s">
        <v>40</v>
      </c>
      <c r="B115" t="s">
        <v>215</v>
      </c>
      <c r="C115" t="s">
        <v>70</v>
      </c>
      <c r="D115" t="s">
        <v>43</v>
      </c>
      <c r="E115" t="s">
        <v>44</v>
      </c>
      <c r="G115" t="s">
        <v>45</v>
      </c>
      <c r="H115" t="s">
        <v>45</v>
      </c>
      <c r="I115" t="s">
        <v>45</v>
      </c>
      <c r="S115">
        <v>20</v>
      </c>
      <c r="X115" t="str">
        <f>IF(S115="", "", IF(S115&gt;78,"Yes","No"))</f>
        <v>No</v>
      </c>
      <c r="Y115" t="s">
        <v>70</v>
      </c>
      <c r="Z115" t="s">
        <v>47</v>
      </c>
      <c r="AA115" t="s">
        <v>56</v>
      </c>
      <c r="AB115">
        <f>IF(Y115="Emission Nebula",90,IF(Y115="Reflection Nebula",75,IF(Y115="Planetary Nebula",60,IF(Y115="Galaxy",90,IF(Y115="Globular Cluster",30,IF(Y115="Open Cluster",20,IF(Y115="Comet",20,IF(Y115="Planet",10,IF(Y115="Star",5,45)))))))))</f>
        <v>20</v>
      </c>
      <c r="AC115" t="s">
        <v>71</v>
      </c>
      <c r="AD115">
        <f>MAX(1,MIN(10,ROUND((IF(S115="",5,IF(S115&lt;3,2,IF(S115&lt;10,4,IF(S115&lt;=70,8,IF(S115&lt;=100,6,4))))))+IF(Y115="Emission Nebula",2,IF(Y115="Open Cluster",2,IF(Y115="Globular Cluster",2,IF(Y115="Reflection Nebula",1,IF(Y115="Planetary Nebula",1,IF(Y115="Comet",1,0))))))+IF(Z115="High (easy)",2,IF(Z115="Medium",1,IF(Z115="Low (hard)",-1,0)))+IF(AA115="High (OK with Moon)",2,IF(AA115="Medium",0,IF(AA115="Low (needs dark)",-2,0)))+IF(AC115="High (best &gt;50°)",1,IF(AC115="Medium",0,IF(AC115="Low (OK)",-1,0))),0)))</f>
        <v>10</v>
      </c>
      <c r="AE115" t="str">
        <f ca="1">IF(AND(CHOOSE(MONTH(TODAY()),G115,H115,I115,J115,K115,L115,M115,N115,O115,P115,Q115,R115)="✔",AD115&gt;=7,OR(V115&lt;&gt;"No",V115=""),OR(X115="No",X115="")),"⭐ PICK","")</f>
        <v>⭐ PICK</v>
      </c>
      <c r="AI115">
        <v>0.79333333333333333</v>
      </c>
      <c r="AJ115">
        <v>-25.283333333333331</v>
      </c>
    </row>
    <row r="116" spans="1:43" x14ac:dyDescent="0.3">
      <c r="A116" t="s">
        <v>40</v>
      </c>
      <c r="B116" t="s">
        <v>187</v>
      </c>
      <c r="D116" t="s">
        <v>69</v>
      </c>
      <c r="E116" t="s">
        <v>57</v>
      </c>
      <c r="G116" t="s">
        <v>45</v>
      </c>
      <c r="H116" t="s">
        <v>45</v>
      </c>
      <c r="I116" t="s">
        <v>45</v>
      </c>
      <c r="J116" t="s">
        <v>45</v>
      </c>
      <c r="K116" t="s">
        <v>45</v>
      </c>
      <c r="L116" t="s">
        <v>45</v>
      </c>
      <c r="M116" t="s">
        <v>45</v>
      </c>
      <c r="N116" t="s">
        <v>45</v>
      </c>
      <c r="O116" t="s">
        <v>45</v>
      </c>
      <c r="P116" t="s">
        <v>45</v>
      </c>
      <c r="Q116" t="s">
        <v>45</v>
      </c>
      <c r="R116" t="s">
        <v>45</v>
      </c>
      <c r="X116" t="str">
        <f>IF(S116="", "", IF(S116&gt;78,"Yes","No"))</f>
        <v/>
      </c>
      <c r="AB116">
        <f>IF(Y116="Emission Nebula",90,IF(Y116="Reflection Nebula",75,IF(Y116="Planetary Nebula",60,IF(Y116="Galaxy",90,IF(Y116="Globular Cluster",30,IF(Y116="Open Cluster",20,IF(Y116="Comet",20,IF(Y116="Planet",10,IF(Y116="Star",5,45)))))))))</f>
        <v>45</v>
      </c>
      <c r="AD116">
        <f>MAX(1,MIN(10,ROUND((IF(S116="",5,IF(S116&lt;3,2,IF(S116&lt;10,4,IF(S116&lt;=70,8,IF(S116&lt;=100,6,4))))))+IF(Y116="Emission Nebula",2,IF(Y116="Open Cluster",2,IF(Y116="Globular Cluster",2,IF(Y116="Reflection Nebula",1,IF(Y116="Planetary Nebula",1,IF(Y116="Comet",1,0))))))+IF(Z116="High (easy)",2,IF(Z116="Medium",1,IF(Z116="Low (hard)",-1,0)))+IF(AA116="High (OK with Moon)",2,IF(AA116="Medium",0,IF(AA116="Low (needs dark)",-2,0)))+IF(AC116="High (best &gt;50°)",1,IF(AC116="Medium",0,IF(AC116="Low (OK)",-1,0))),0)))</f>
        <v>5</v>
      </c>
      <c r="AE116" t="str">
        <f ca="1">IF(AND(CHOOSE(MONTH(TODAY()),G116,H116,I116,J116,K116,L116,M116,N116,O116,P116,Q116,R116)="✔",AD116&gt;=7,AM116="Yes",AO116&gt;=50,OR(X116="No",X116=""),OR(E116="No",V116="Yes")),"⭐ PICK","")</f>
        <v/>
      </c>
      <c r="AI116">
        <v>12.6</v>
      </c>
      <c r="AJ116">
        <v>13.15</v>
      </c>
      <c r="AK116" t="s">
        <v>9</v>
      </c>
      <c r="AL116" s="5">
        <f ca="1">IFERROR(MOD((AI116-(MOD(18.697374558+24.065709824419*(TODAY()-DATE(2000,1,1)+0.5)+$AZ$1/15,24)))/1.00273790935,24)/24,"")</f>
        <v>0.28857811409505246</v>
      </c>
      <c r="AM116" t="str">
        <f>IF(AO116&gt;=20,"Yes","No")</f>
        <v>Yes</v>
      </c>
      <c r="AN116" s="7" t="str">
        <f ca="1">IF(AM116="Yes",TEXT(AL116,"h:mm AM/PM"),"")</f>
        <v>6:55 AM</v>
      </c>
      <c r="AO116">
        <v>48.7</v>
      </c>
      <c r="AP116">
        <f>ROUND(MAX(0,MIN(10,(AO116-20)/6)),1)</f>
        <v>4.8</v>
      </c>
      <c r="AQ116" t="str">
        <f ca="1">IF(AE116="⭐ PICK","PICK at "&amp;AN116,"")</f>
        <v/>
      </c>
    </row>
    <row r="117" spans="1:43" x14ac:dyDescent="0.3">
      <c r="A117" t="s">
        <v>40</v>
      </c>
      <c r="B117" t="s">
        <v>188</v>
      </c>
      <c r="D117" t="s">
        <v>69</v>
      </c>
      <c r="E117" t="s">
        <v>57</v>
      </c>
      <c r="G117" t="s">
        <v>45</v>
      </c>
      <c r="H117" t="s">
        <v>45</v>
      </c>
      <c r="I117" t="s">
        <v>45</v>
      </c>
      <c r="J117" t="s">
        <v>45</v>
      </c>
      <c r="K117" t="s">
        <v>45</v>
      </c>
      <c r="L117" t="s">
        <v>45</v>
      </c>
      <c r="M117" t="s">
        <v>45</v>
      </c>
      <c r="N117" t="s">
        <v>45</v>
      </c>
      <c r="O117" t="s">
        <v>45</v>
      </c>
      <c r="P117" t="s">
        <v>45</v>
      </c>
      <c r="Q117" t="s">
        <v>45</v>
      </c>
      <c r="R117" t="s">
        <v>45</v>
      </c>
      <c r="X117" t="str">
        <f>IF(S117="", "", IF(S117&gt;78,"Yes","No"))</f>
        <v/>
      </c>
      <c r="AB117">
        <f>IF(Y117="Emission Nebula",90,IF(Y117="Reflection Nebula",75,IF(Y117="Planetary Nebula",60,IF(Y117="Galaxy",90,IF(Y117="Globular Cluster",30,IF(Y117="Open Cluster",20,IF(Y117="Comet",20,IF(Y117="Planet",10,IF(Y117="Star",5,45)))))))))</f>
        <v>45</v>
      </c>
      <c r="AD117">
        <f>MAX(1,MIN(10,ROUND((IF(S117="",5,IF(S117&lt;3,2,IF(S117&lt;10,4,IF(S117&lt;=70,8,IF(S117&lt;=100,6,4))))))+IF(Y117="Emission Nebula",2,IF(Y117="Open Cluster",2,IF(Y117="Globular Cluster",2,IF(Y117="Reflection Nebula",1,IF(Y117="Planetary Nebula",1,IF(Y117="Comet",1,0))))))+IF(Z117="High (easy)",2,IF(Z117="Medium",1,IF(Z117="Low (hard)",-1,0)))+IF(AA117="High (OK with Moon)",2,IF(AA117="Medium",0,IF(AA117="Low (needs dark)",-2,0)))+IF(AC117="High (best &gt;50°)",1,IF(AC117="Medium",0,IF(AC117="Low (OK)",-1,0))),0)))</f>
        <v>5</v>
      </c>
      <c r="AE117" t="str">
        <f ca="1">IF(AND(CHOOSE(MONTH(TODAY()),G117,H117,I117,J117,K117,L117,M117,N117,O117,P117,Q117,R117)="✔",AD117&gt;=7,AM117="Yes",AO117&gt;=50,OR(X117="No",X117=""),OR(E117="No",V117="Yes")),"⭐ PICK","")</f>
        <v/>
      </c>
      <c r="AI117">
        <v>12.583</v>
      </c>
      <c r="AJ117">
        <v>14.483000000000001</v>
      </c>
      <c r="AK117" t="s">
        <v>9</v>
      </c>
      <c r="AL117" s="5">
        <f ca="1">IFERROR(MOD((AI117-(MOD(18.697374558+24.065709824419*(TODAY()-DATE(2000,1,1)+0.5)+$AZ$1/15,24)))/1.00273790935,24)/24,"")</f>
        <v>0.28787171481890217</v>
      </c>
      <c r="AM117" t="str">
        <f>IF(AO117&gt;=20,"Yes","No")</f>
        <v>Yes</v>
      </c>
      <c r="AN117" s="7" t="str">
        <f ca="1">IF(AM117="Yes",TEXT(AL117,"h:mm AM/PM"),"")</f>
        <v>6:54 AM</v>
      </c>
      <c r="AO117">
        <v>49.7</v>
      </c>
      <c r="AP117">
        <f>ROUND(MAX(0,MIN(10,(AO117-20)/6)),1)</f>
        <v>5</v>
      </c>
      <c r="AQ117" t="str">
        <f ca="1">IF(AE117="⭐ PICK","PICK at "&amp;AN117,"")</f>
        <v/>
      </c>
    </row>
    <row r="118" spans="1:43" x14ac:dyDescent="0.3">
      <c r="A118" t="s">
        <v>40</v>
      </c>
      <c r="B118" t="s">
        <v>191</v>
      </c>
      <c r="D118" t="s">
        <v>69</v>
      </c>
      <c r="E118" t="s">
        <v>57</v>
      </c>
      <c r="G118" t="s">
        <v>45</v>
      </c>
      <c r="H118" t="s">
        <v>45</v>
      </c>
      <c r="I118" t="s">
        <v>45</v>
      </c>
      <c r="J118" t="s">
        <v>45</v>
      </c>
      <c r="K118" t="s">
        <v>45</v>
      </c>
      <c r="L118" t="s">
        <v>45</v>
      </c>
      <c r="M118" t="s">
        <v>45</v>
      </c>
      <c r="N118" t="s">
        <v>45</v>
      </c>
      <c r="O118" t="s">
        <v>45</v>
      </c>
      <c r="P118" t="s">
        <v>45</v>
      </c>
      <c r="Q118" t="s">
        <v>45</v>
      </c>
      <c r="R118" t="s">
        <v>45</v>
      </c>
      <c r="X118" t="str">
        <f>IF(S118="", "", IF(S118&gt;78,"Yes","No"))</f>
        <v/>
      </c>
      <c r="AB118">
        <f>IF(Y118="Emission Nebula",90,IF(Y118="Reflection Nebula",75,IF(Y118="Planetary Nebula",60,IF(Y118="Galaxy",90,IF(Y118="Globular Cluster",30,IF(Y118="Open Cluster",20,IF(Y118="Comet",20,IF(Y118="Planet",10,IF(Y118="Star",5,45)))))))))</f>
        <v>45</v>
      </c>
      <c r="AD118">
        <f>MAX(1,MIN(10,ROUND((IF(S118="",5,IF(S118&lt;3,2,IF(S118&lt;10,4,IF(S118&lt;=70,8,IF(S118&lt;=100,6,4))))))+IF(Y118="Emission Nebula",2,IF(Y118="Open Cluster",2,IF(Y118="Globular Cluster",2,IF(Y118="Reflection Nebula",1,IF(Y118="Planetary Nebula",1,IF(Y118="Comet",1,0))))))+IF(Z118="High (easy)",2,IF(Z118="Medium",1,IF(Z118="Low (hard)",-1,0)))+IF(AA118="High (OK with Moon)",2,IF(AA118="Medium",0,IF(AA118="Low (needs dark)",-2,0)))+IF(AC118="High (best &gt;50°)",1,IF(AC118="Medium",0,IF(AC118="Low (OK)",-1,0))),0)))</f>
        <v>5</v>
      </c>
      <c r="AE118" t="str">
        <f ca="1">IF(AND(CHOOSE(MONTH(TODAY()),G118,H118,I118,J118,K118,L118,M118,N118,O118,P118,Q118,R118)="✔",AD118&gt;=7,AM118="Yes",AO118&gt;=50,OR(X118="No",X118=""),OR(E118="No",V118="Yes")),"⭐ PICK","")</f>
        <v/>
      </c>
      <c r="AI118">
        <v>7.7329999999999997</v>
      </c>
      <c r="AJ118">
        <v>-23.856999999999999</v>
      </c>
      <c r="AK118" t="s">
        <v>7</v>
      </c>
      <c r="AL118" s="5">
        <f ca="1">IFERROR(MOD((AI118-(MOD(18.697374558+24.065709824419*(TODAY()-DATE(2000,1,1)+0.5)+$AZ$1/15,24)))/1.00273790935,24)/24,"")</f>
        <v>8.6340156623073247E-2</v>
      </c>
      <c r="AM118" t="str">
        <f>IF(AO118&gt;=20,"Yes","No")</f>
        <v>Yes</v>
      </c>
      <c r="AN118" s="7" t="str">
        <f ca="1">IF(AM118="Yes",TEXT(AL118,"h:mm AM/PM"),"")</f>
        <v>2:04 AM</v>
      </c>
      <c r="AO118">
        <v>33.1</v>
      </c>
      <c r="AP118">
        <f>ROUND(MAX(0,MIN(10,(AO118-20)/6)),1)</f>
        <v>2.2000000000000002</v>
      </c>
      <c r="AQ118" t="str">
        <f ca="1">IF(AE118="⭐ PICK","PICK at "&amp;AN118,"")</f>
        <v/>
      </c>
    </row>
    <row r="119" spans="1:43" hidden="1" x14ac:dyDescent="0.3">
      <c r="A119" t="s">
        <v>40</v>
      </c>
      <c r="B119" t="s">
        <v>220</v>
      </c>
      <c r="C119" t="s">
        <v>221</v>
      </c>
      <c r="D119" t="s">
        <v>202</v>
      </c>
      <c r="E119" t="s">
        <v>44</v>
      </c>
      <c r="I119" t="s">
        <v>45</v>
      </c>
      <c r="J119" t="s">
        <v>45</v>
      </c>
      <c r="K119" t="s">
        <v>45</v>
      </c>
      <c r="S119">
        <v>60</v>
      </c>
      <c r="X119" t="str">
        <f>IF(S119="", "", IF(S119&gt;78,"Yes","No"))</f>
        <v>No</v>
      </c>
      <c r="Y119" t="s">
        <v>46</v>
      </c>
      <c r="Z119" t="s">
        <v>47</v>
      </c>
      <c r="AA119" t="s">
        <v>48</v>
      </c>
      <c r="AB119">
        <f>IF(Y119="Emission Nebula",90,IF(Y119="Reflection Nebula",75,IF(Y119="Planetary Nebula",60,IF(Y119="Galaxy",90,IF(Y119="Globular Cluster",30,IF(Y119="Open Cluster",20,IF(Y119="Comet",20,IF(Y119="Planet",10,IF(Y119="Star",5,45)))))))))</f>
        <v>90</v>
      </c>
      <c r="AC119" t="s">
        <v>49</v>
      </c>
      <c r="AD119">
        <f>MAX(1,MIN(10,ROUND((IF(S119="",5,IF(S119&lt;3,2,IF(S119&lt;10,4,IF(S119&lt;=70,8,IF(S119&lt;=100,6,4))))))+IF(Y119="Emission Nebula",2,IF(Y119="Open Cluster",2,IF(Y119="Globular Cluster",2,IF(Y119="Reflection Nebula",1,IF(Y119="Planetary Nebula",1,IF(Y119="Comet",1,0))))))+IF(Z119="High (easy)",2,IF(Z119="Medium",1,IF(Z119="Low (hard)",-1,0)))+IF(AA119="High (OK with Moon)",2,IF(AA119="Medium",0,IF(AA119="Low (needs dark)",-2,0)))+IF(AC119="High (best &gt;50°)",1,IF(AC119="Medium",0,IF(AC119="Low (OK)",-1,0))),0)))</f>
        <v>10</v>
      </c>
      <c r="AE119" t="str">
        <f ca="1">IF(AND(CHOOSE(MONTH(TODAY()),G119,H119,I119,J119,K119,L119,M119,N119,O119,P119,Q119,R119)="✔",AD119&gt;=7,OR(V119&lt;&gt;"No",V119=""),OR(X119="No",X119="")),"⭐ PICK","")</f>
        <v>⭐ PICK</v>
      </c>
      <c r="AI119">
        <v>8.8783333333333339</v>
      </c>
      <c r="AJ119">
        <v>33.416666666666657</v>
      </c>
    </row>
    <row r="120" spans="1:43" x14ac:dyDescent="0.3">
      <c r="A120" t="s">
        <v>40</v>
      </c>
      <c r="B120" t="s">
        <v>198</v>
      </c>
      <c r="D120" t="s">
        <v>69</v>
      </c>
      <c r="E120" t="s">
        <v>57</v>
      </c>
      <c r="G120" t="s">
        <v>45</v>
      </c>
      <c r="H120" t="s">
        <v>45</v>
      </c>
      <c r="I120" t="s">
        <v>45</v>
      </c>
      <c r="J120" t="s">
        <v>45</v>
      </c>
      <c r="K120" t="s">
        <v>45</v>
      </c>
      <c r="L120" t="s">
        <v>45</v>
      </c>
      <c r="M120" t="s">
        <v>45</v>
      </c>
      <c r="N120" t="s">
        <v>45</v>
      </c>
      <c r="O120" t="s">
        <v>45</v>
      </c>
      <c r="P120" t="s">
        <v>45</v>
      </c>
      <c r="Q120" t="s">
        <v>45</v>
      </c>
      <c r="R120" t="s">
        <v>45</v>
      </c>
      <c r="X120" t="str">
        <f>IF(S120="", "", IF(S120&gt;78,"Yes","No"))</f>
        <v/>
      </c>
      <c r="AB120">
        <f>IF(Y120="Emission Nebula",90,IF(Y120="Reflection Nebula",75,IF(Y120="Planetary Nebula",60,IF(Y120="Galaxy",90,IF(Y120="Globular Cluster",30,IF(Y120="Open Cluster",20,IF(Y120="Comet",20,IF(Y120="Planet",10,IF(Y120="Star",5,45)))))))))</f>
        <v>45</v>
      </c>
      <c r="AD120">
        <f>MAX(1,MIN(10,ROUND((IF(S120="",5,IF(S120&lt;3,2,IF(S120&lt;10,4,IF(S120&lt;=70,8,IF(S120&lt;=100,6,4))))))+IF(Y120="Emission Nebula",2,IF(Y120="Open Cluster",2,IF(Y120="Globular Cluster",2,IF(Y120="Reflection Nebula",1,IF(Y120="Planetary Nebula",1,IF(Y120="Comet",1,0))))))+IF(Z120="High (easy)",2,IF(Z120="Medium",1,IF(Z120="Low (hard)",-1,0)))+IF(AA120="High (OK with Moon)",2,IF(AA120="Medium",0,IF(AA120="Low (needs dark)",-2,0)))+IF(AC120="High (best &gt;50°)",1,IF(AC120="Medium",0,IF(AC120="Low (OK)",-1,0))),0)))</f>
        <v>5</v>
      </c>
      <c r="AE120" t="str">
        <f ca="1">IF(AND(CHOOSE(MONTH(TODAY()),G120,H120,I120,J120,K120,L120,M120,N120,O120,P120,Q120,R120)="✔",AD120&gt;=7,AM120="Yes",AO120&gt;=50,OR(X120="No",X120=""),OR(E120="No",V120="Yes")),"⭐ PICK","")</f>
        <v/>
      </c>
      <c r="AI120">
        <v>11.233000000000001</v>
      </c>
      <c r="AJ120">
        <v>55.017000000000003</v>
      </c>
      <c r="AK120" t="s">
        <v>9</v>
      </c>
      <c r="AL120" s="5">
        <f ca="1">IFERROR(MOD((AI120-(MOD(18.697374558+24.065709824419*(TODAY()-DATE(2000,1,1)+0.5)+$AZ$1/15,24)))/1.00273790935,24)/24,"")</f>
        <v>0.23177530171284674</v>
      </c>
      <c r="AM120" t="str">
        <f>IF(AO120&gt;=20,"Yes","No")</f>
        <v>Yes</v>
      </c>
      <c r="AN120" s="7" t="str">
        <f ca="1">IF(AM120="Yes",TEXT(AL120,"h:mm AM/PM"),"")</f>
        <v>5:33 AM</v>
      </c>
      <c r="AO120">
        <v>64.2</v>
      </c>
      <c r="AP120">
        <f>ROUND(MAX(0,MIN(10,(AO120-20)/6)),1)</f>
        <v>7.4</v>
      </c>
      <c r="AQ120" t="str">
        <f ca="1">IF(AE120="⭐ PICK","PICK at "&amp;AN120,"")</f>
        <v/>
      </c>
    </row>
    <row r="121" spans="1:43" x14ac:dyDescent="0.3">
      <c r="A121" t="s">
        <v>40</v>
      </c>
      <c r="B121" t="s">
        <v>74</v>
      </c>
      <c r="C121" t="s">
        <v>75</v>
      </c>
      <c r="D121" t="s">
        <v>395</v>
      </c>
      <c r="I121" t="s">
        <v>45</v>
      </c>
      <c r="J121" t="s">
        <v>45</v>
      </c>
      <c r="K121" t="s">
        <v>45</v>
      </c>
      <c r="O121">
        <v>90</v>
      </c>
      <c r="P121">
        <v>60</v>
      </c>
      <c r="Q121" t="s">
        <v>414</v>
      </c>
      <c r="S121" t="s">
        <v>417</v>
      </c>
      <c r="T121" t="s">
        <v>46</v>
      </c>
      <c r="U121" t="s">
        <v>415</v>
      </c>
      <c r="V121" t="s">
        <v>48</v>
      </c>
      <c r="W121">
        <v>60</v>
      </c>
      <c r="X121" t="s">
        <v>416</v>
      </c>
      <c r="Y121">
        <v>9</v>
      </c>
      <c r="AC121">
        <v>18.05</v>
      </c>
      <c r="AD121">
        <v>-24.38</v>
      </c>
      <c r="AE121" t="str">
        <f ca="1">IF(AND(CHOOSE(MONTH(TODAY()),G121,H121,I121,J121,K121,L121,M121,N121,O121,P121,Q121,R121)="✔",AD121&gt;=7,AM121="Yes",AO121&gt;=50,OR(X121="No",X121=""),OR(E121="No",V121="Yes")),"⭐ PICK","")</f>
        <v/>
      </c>
      <c r="AL121" s="5">
        <f ca="1">IFERROR(MOD((AI121-(MOD(18.697374558+24.065709824419*(TODAY()-DATE(2000,1,1)+0.5)+$AZ$1/15,24)))/1.00273790935,24)/24,"")</f>
        <v>0.76501159177186817</v>
      </c>
      <c r="AM121" t="str">
        <f>IF(AO121&gt;=20,"Yes","No")</f>
        <v>No</v>
      </c>
      <c r="AN121" s="7" t="str">
        <f>IF(AM121="Yes",TEXT(AL121,"h:mm AM/PM"),"")</f>
        <v/>
      </c>
      <c r="AP121">
        <f>ROUND(MAX(0,MIN(10,(AO121-20)/6)),1)</f>
        <v>0</v>
      </c>
      <c r="AQ121" t="str">
        <f ca="1">IF(AE121="⭐ PICK","PICK at "&amp;AN121,"")</f>
        <v/>
      </c>
    </row>
    <row r="122" spans="1:43" x14ac:dyDescent="0.3">
      <c r="A122" t="s">
        <v>40</v>
      </c>
      <c r="B122" t="s">
        <v>199</v>
      </c>
      <c r="D122" t="s">
        <v>69</v>
      </c>
      <c r="E122" t="s">
        <v>57</v>
      </c>
      <c r="G122" t="s">
        <v>45</v>
      </c>
      <c r="H122" t="s">
        <v>45</v>
      </c>
      <c r="I122" t="s">
        <v>45</v>
      </c>
      <c r="J122" t="s">
        <v>45</v>
      </c>
      <c r="K122" t="s">
        <v>45</v>
      </c>
      <c r="L122" t="s">
        <v>45</v>
      </c>
      <c r="M122" t="s">
        <v>45</v>
      </c>
      <c r="N122" t="s">
        <v>45</v>
      </c>
      <c r="O122" t="s">
        <v>45</v>
      </c>
      <c r="P122" t="s">
        <v>45</v>
      </c>
      <c r="Q122" t="s">
        <v>45</v>
      </c>
      <c r="R122" t="s">
        <v>45</v>
      </c>
      <c r="X122" t="str">
        <f>IF(S122="", "", IF(S122&gt;78,"Yes","No"))</f>
        <v/>
      </c>
      <c r="AB122">
        <f>IF(Y122="Emission Nebula",90,IF(Y122="Reflection Nebula",75,IF(Y122="Planetary Nebula",60,IF(Y122="Galaxy",90,IF(Y122="Globular Cluster",30,IF(Y122="Open Cluster",20,IF(Y122="Comet",20,IF(Y122="Planet",10,IF(Y122="Star",5,45)))))))))</f>
        <v>45</v>
      </c>
      <c r="AD122">
        <f>MAX(1,MIN(10,ROUND((IF(S122="",5,IF(S122&lt;3,2,IF(S122&lt;10,4,IF(S122&lt;=70,8,IF(S122&lt;=100,6,4))))))+IF(Y122="Emission Nebula",2,IF(Y122="Open Cluster",2,IF(Y122="Globular Cluster",2,IF(Y122="Reflection Nebula",1,IF(Y122="Planetary Nebula",1,IF(Y122="Comet",1,0))))))+IF(Z122="High (easy)",2,IF(Z122="Medium",1,IF(Z122="Low (hard)",-1,0)))+IF(AA122="High (OK with Moon)",2,IF(AA122="Medium",0,IF(AA122="Low (needs dark)",-2,0)))+IF(AC122="High (best &gt;50°)",1,IF(AC122="Medium",0,IF(AC122="Low (OK)",-1,0))),0)))</f>
        <v>5</v>
      </c>
      <c r="AE122" t="str">
        <f ca="1">IF(AND(CHOOSE(MONTH(TODAY()),G122,H122,I122,J122,K122,L122,M122,N122,O122,P122,Q122,R122)="✔",AD122&gt;=7,AM122="Yes",AO122&gt;=50,OR(X122="No",X122=""),OR(E122="No",V122="Yes")),"⭐ PICK","")</f>
        <v/>
      </c>
      <c r="AI122">
        <v>12.3</v>
      </c>
      <c r="AJ122">
        <v>14.4</v>
      </c>
      <c r="AK122" t="s">
        <v>9</v>
      </c>
      <c r="AL122" s="5">
        <f ca="1">IFERROR(MOD((AI122-(MOD(18.697374558+24.065709824419*(TODAY()-DATE(2000,1,1)+0.5)+$AZ$1/15,24)))/1.00273790935,24)/24,"")</f>
        <v>0.27611224451592908</v>
      </c>
      <c r="AM122" t="str">
        <f>IF(AO122&gt;=20,"Yes","No")</f>
        <v>Yes</v>
      </c>
      <c r="AN122" s="7" t="str">
        <f ca="1">IF(AM122="Yes",TEXT(AL122,"h:mm AM/PM"),"")</f>
        <v>6:37 AM</v>
      </c>
      <c r="AO122">
        <v>53</v>
      </c>
      <c r="AP122">
        <f>ROUND(MAX(0,MIN(10,(AO122-20)/6)),1)</f>
        <v>5.5</v>
      </c>
      <c r="AQ122" t="str">
        <f ca="1">IF(AE122="⭐ PICK","PICK at "&amp;AN122,"")</f>
        <v/>
      </c>
    </row>
    <row r="123" spans="1:43" x14ac:dyDescent="0.3">
      <c r="A123" t="s">
        <v>40</v>
      </c>
      <c r="B123" t="s">
        <v>205</v>
      </c>
      <c r="D123" t="s">
        <v>69</v>
      </c>
      <c r="E123" t="s">
        <v>57</v>
      </c>
      <c r="G123" t="s">
        <v>45</v>
      </c>
      <c r="H123" t="s">
        <v>45</v>
      </c>
      <c r="I123" t="s">
        <v>45</v>
      </c>
      <c r="J123" t="s">
        <v>45</v>
      </c>
      <c r="K123" t="s">
        <v>45</v>
      </c>
      <c r="L123" t="s">
        <v>45</v>
      </c>
      <c r="M123" t="s">
        <v>45</v>
      </c>
      <c r="N123" t="s">
        <v>45</v>
      </c>
      <c r="O123" t="s">
        <v>45</v>
      </c>
      <c r="P123" t="s">
        <v>45</v>
      </c>
      <c r="Q123" t="s">
        <v>45</v>
      </c>
      <c r="R123" t="s">
        <v>45</v>
      </c>
      <c r="X123" t="str">
        <f>IF(S123="", "", IF(S123&gt;78,"Yes","No"))</f>
        <v/>
      </c>
      <c r="AB123">
        <f>IF(Y123="Emission Nebula",90,IF(Y123="Reflection Nebula",75,IF(Y123="Planetary Nebula",60,IF(Y123="Galaxy",90,IF(Y123="Globular Cluster",30,IF(Y123="Open Cluster",20,IF(Y123="Comet",20,IF(Y123="Planet",10,IF(Y123="Star",5,45)))))))))</f>
        <v>45</v>
      </c>
      <c r="AD123">
        <f>MAX(1,MIN(10,ROUND((IF(S123="",5,IF(S123&lt;3,2,IF(S123&lt;10,4,IF(S123&lt;=70,8,IF(S123&lt;=100,6,4))))))+IF(Y123="Emission Nebula",2,IF(Y123="Open Cluster",2,IF(Y123="Globular Cluster",2,IF(Y123="Reflection Nebula",1,IF(Y123="Planetary Nebula",1,IF(Y123="Comet",1,0))))))+IF(Z123="High (easy)",2,IF(Z123="Medium",1,IF(Z123="Low (hard)",-1,0)))+IF(AA123="High (OK with Moon)",2,IF(AA123="Medium",0,IF(AA123="Low (needs dark)",-2,0)))+IF(AC123="High (best &gt;50°)",1,IF(AC123="Medium",0,IF(AC123="Low (OK)",-1,0))),0)))</f>
        <v>5</v>
      </c>
      <c r="AE123" t="str">
        <f ca="1">IF(AND(CHOOSE(MONTH(TODAY()),G123,H123,I123,J123,K123,L123,M123,N123,O123,P123,Q123,R123)="✔",AD123&gt;=7,AM123="Yes",AO123&gt;=50,OR(X123="No",X123=""),OR(E123="No",V123="Yes")),"⭐ PICK","")</f>
        <v/>
      </c>
      <c r="AI123">
        <v>15.1</v>
      </c>
      <c r="AJ123">
        <v>55.75</v>
      </c>
      <c r="AK123" t="s">
        <v>11</v>
      </c>
      <c r="AL123" s="5">
        <f ca="1">IFERROR(MOD((AI123-(MOD(18.697374558+24.065709824419*(TODAY()-DATE(2000,1,1)+0.5)+$AZ$1/15,24)))/1.00273790935,24)/24,"")</f>
        <v>0.39246036058774775</v>
      </c>
      <c r="AM123" t="str">
        <f>IF(AO123&gt;=20,"Yes","No")</f>
        <v>Yes</v>
      </c>
      <c r="AN123" s="7" t="str">
        <f ca="1">IF(AM123="Yes",TEXT(AL123,"h:mm AM/PM"),"")</f>
        <v>9:25 AM</v>
      </c>
      <c r="AO123">
        <v>33.700000000000003</v>
      </c>
      <c r="AP123">
        <f>ROUND(MAX(0,MIN(10,(AO123-20)/6)),1)</f>
        <v>2.2999999999999998</v>
      </c>
      <c r="AQ123" t="str">
        <f ca="1">IF(AE123="⭐ PICK","PICK at "&amp;AN123,"")</f>
        <v/>
      </c>
    </row>
    <row r="124" spans="1:43" x14ac:dyDescent="0.3">
      <c r="A124" t="s">
        <v>40</v>
      </c>
      <c r="B124" t="s">
        <v>206</v>
      </c>
      <c r="D124" t="s">
        <v>69</v>
      </c>
      <c r="E124" t="s">
        <v>57</v>
      </c>
      <c r="G124" t="s">
        <v>45</v>
      </c>
      <c r="H124" t="s">
        <v>45</v>
      </c>
      <c r="I124" t="s">
        <v>45</v>
      </c>
      <c r="J124" t="s">
        <v>45</v>
      </c>
      <c r="K124" t="s">
        <v>45</v>
      </c>
      <c r="L124" t="s">
        <v>45</v>
      </c>
      <c r="M124" t="s">
        <v>45</v>
      </c>
      <c r="N124" t="s">
        <v>45</v>
      </c>
      <c r="O124" t="s">
        <v>45</v>
      </c>
      <c r="P124" t="s">
        <v>45</v>
      </c>
      <c r="Q124" t="s">
        <v>45</v>
      </c>
      <c r="R124" t="s">
        <v>45</v>
      </c>
      <c r="X124" t="str">
        <f>IF(S124="", "", IF(S124&gt;78,"Yes","No"))</f>
        <v/>
      </c>
      <c r="AB124">
        <f>IF(Y124="Emission Nebula",90,IF(Y124="Reflection Nebula",75,IF(Y124="Planetary Nebula",60,IF(Y124="Galaxy",90,IF(Y124="Globular Cluster",30,IF(Y124="Open Cluster",20,IF(Y124="Comet",20,IF(Y124="Planet",10,IF(Y124="Star",5,45)))))))))</f>
        <v>45</v>
      </c>
      <c r="AD124">
        <f>MAX(1,MIN(10,ROUND((IF(S124="",5,IF(S124&lt;3,2,IF(S124&lt;10,4,IF(S124&lt;=70,8,IF(S124&lt;=100,6,4))))))+IF(Y124="Emission Nebula",2,IF(Y124="Open Cluster",2,IF(Y124="Globular Cluster",2,IF(Y124="Reflection Nebula",1,IF(Y124="Planetary Nebula",1,IF(Y124="Comet",1,0))))))+IF(Z124="High (easy)",2,IF(Z124="Medium",1,IF(Z124="Low (hard)",-1,0)))+IF(AA124="High (OK with Moon)",2,IF(AA124="Medium",0,IF(AA124="Low (needs dark)",-2,0)))+IF(AC124="High (best &gt;50°)",1,IF(AC124="Medium",0,IF(AC124="Low (OK)",-1,0))),0)))</f>
        <v>5</v>
      </c>
      <c r="AE124" t="str">
        <f ca="1">IF(AND(CHOOSE(MONTH(TODAY()),G124,H124,I124,J124,K124,L124,M124,N124,O124,P124,Q124,R124)="✔",AD124&gt;=7,AM124="Yes",AO124&gt;=50,OR(X124="No",X124=""),OR(E124="No",V124="Yes")),"⭐ PICK","")</f>
        <v/>
      </c>
      <c r="AI124">
        <v>1.55</v>
      </c>
      <c r="AJ124">
        <v>60.65</v>
      </c>
      <c r="AK124" t="s">
        <v>16</v>
      </c>
      <c r="AL124" s="5">
        <f ca="1">IFERROR(MOD((AI124-(MOD(18.697374558+24.065709824419*(TODAY()-DATE(2000,1,1)+0.5)+$AZ$1/15,24)))/1.00273790935,24)/24,"")</f>
        <v>0.8294185845973393</v>
      </c>
      <c r="AM124" t="str">
        <f>IF(AO124&gt;=20,"Yes","No")</f>
        <v>Yes</v>
      </c>
      <c r="AN124" s="7" t="str">
        <f ca="1">IF(AM124="Yes",TEXT(AL124,"h:mm AM/PM"),"")</f>
        <v>7:54 PM</v>
      </c>
      <c r="AO124">
        <v>62.1</v>
      </c>
      <c r="AP124">
        <f>ROUND(MAX(0,MIN(10,(AO124-20)/6)),1)</f>
        <v>7</v>
      </c>
      <c r="AQ124" t="str">
        <f ca="1">IF(AE124="⭐ PICK","PICK at "&amp;AN124,"")</f>
        <v/>
      </c>
    </row>
    <row r="125" spans="1:43" x14ac:dyDescent="0.3">
      <c r="A125" t="s">
        <v>40</v>
      </c>
      <c r="B125" t="s">
        <v>207</v>
      </c>
      <c r="D125" t="s">
        <v>69</v>
      </c>
      <c r="E125" t="s">
        <v>57</v>
      </c>
      <c r="G125" t="s">
        <v>45</v>
      </c>
      <c r="H125" t="s">
        <v>45</v>
      </c>
      <c r="I125" t="s">
        <v>45</v>
      </c>
      <c r="J125" t="s">
        <v>45</v>
      </c>
      <c r="K125" t="s">
        <v>45</v>
      </c>
      <c r="L125" t="s">
        <v>45</v>
      </c>
      <c r="M125" t="s">
        <v>45</v>
      </c>
      <c r="N125" t="s">
        <v>45</v>
      </c>
      <c r="O125" t="s">
        <v>45</v>
      </c>
      <c r="P125" t="s">
        <v>45</v>
      </c>
      <c r="Q125" t="s">
        <v>45</v>
      </c>
      <c r="R125" t="s">
        <v>45</v>
      </c>
      <c r="X125" t="str">
        <f>IF(S125="", "", IF(S125&gt;78,"Yes","No"))</f>
        <v/>
      </c>
      <c r="AB125">
        <f>IF(Y125="Emission Nebula",90,IF(Y125="Reflection Nebula",75,IF(Y125="Planetary Nebula",60,IF(Y125="Galaxy",90,IF(Y125="Globular Cluster",30,IF(Y125="Open Cluster",20,IF(Y125="Comet",20,IF(Y125="Planet",10,IF(Y125="Star",5,45)))))))))</f>
        <v>45</v>
      </c>
      <c r="AD125">
        <f>MAX(1,MIN(10,ROUND((IF(S125="",5,IF(S125&lt;3,2,IF(S125&lt;10,4,IF(S125&lt;=70,8,IF(S125&lt;=100,6,4))))))+IF(Y125="Emission Nebula",2,IF(Y125="Open Cluster",2,IF(Y125="Globular Cluster",2,IF(Y125="Reflection Nebula",1,IF(Y125="Planetary Nebula",1,IF(Y125="Comet",1,0))))))+IF(Z125="High (easy)",2,IF(Z125="Medium",1,IF(Z125="Low (hard)",-1,0)))+IF(AA125="High (OK with Moon)",2,IF(AA125="Medium",0,IF(AA125="Low (needs dark)",-2,0)))+IF(AC125="High (best &gt;50°)",1,IF(AC125="Medium",0,IF(AC125="Low (OK)",-1,0))),0)))</f>
        <v>5</v>
      </c>
      <c r="AE125" t="str">
        <f ca="1">IF(AND(CHOOSE(MONTH(TODAY()),G125,H125,I125,J125,K125,L125,M125,N125,O125,P125,Q125,R125)="✔",AD125&gt;=7,AM125="Yes",AO125&gt;=50,OR(X125="No",X125=""),OR(E125="No",V125="Yes")),"⭐ PICK","")</f>
        <v/>
      </c>
      <c r="AI125">
        <v>12.65</v>
      </c>
      <c r="AJ125">
        <v>-11.617000000000001</v>
      </c>
      <c r="AK125" t="s">
        <v>9</v>
      </c>
      <c r="AL125" s="5">
        <f ca="1">IFERROR(MOD((AI125-(MOD(18.697374558+24.065709824419*(TODAY()-DATE(2000,1,1)+0.5)+$AZ$1/15,24)))/1.00273790935,24)/24,"")</f>
        <v>0.29065575902490642</v>
      </c>
      <c r="AM125" t="str">
        <f>IF(AO125&gt;=20,"Yes","No")</f>
        <v>Yes</v>
      </c>
      <c r="AN125" s="7" t="str">
        <f ca="1">IF(AM125="Yes",TEXT(AL125,"h:mm AM/PM"),"")</f>
        <v>6:58 AM</v>
      </c>
      <c r="AO125">
        <v>31</v>
      </c>
      <c r="AP125">
        <f>ROUND(MAX(0,MIN(10,(AO125-20)/6)),1)</f>
        <v>1.8</v>
      </c>
      <c r="AQ125" t="str">
        <f ca="1">IF(AE125="⭐ PICK","PICK at "&amp;AN125,"")</f>
        <v/>
      </c>
    </row>
    <row r="126" spans="1:43" x14ac:dyDescent="0.3">
      <c r="A126" t="s">
        <v>40</v>
      </c>
      <c r="B126" t="s">
        <v>208</v>
      </c>
      <c r="D126" t="s">
        <v>69</v>
      </c>
      <c r="E126" t="s">
        <v>57</v>
      </c>
      <c r="G126" t="s">
        <v>45</v>
      </c>
      <c r="H126" t="s">
        <v>45</v>
      </c>
      <c r="I126" t="s">
        <v>45</v>
      </c>
      <c r="J126" t="s">
        <v>45</v>
      </c>
      <c r="K126" t="s">
        <v>45</v>
      </c>
      <c r="L126" t="s">
        <v>45</v>
      </c>
      <c r="M126" t="s">
        <v>45</v>
      </c>
      <c r="N126" t="s">
        <v>45</v>
      </c>
      <c r="O126" t="s">
        <v>45</v>
      </c>
      <c r="P126" t="s">
        <v>45</v>
      </c>
      <c r="Q126" t="s">
        <v>45</v>
      </c>
      <c r="R126" t="s">
        <v>45</v>
      </c>
      <c r="X126" t="str">
        <f>IF(S126="", "", IF(S126&gt;78,"Yes","No"))</f>
        <v/>
      </c>
      <c r="AB126">
        <f>IF(Y126="Emission Nebula",90,IF(Y126="Reflection Nebula",75,IF(Y126="Planetary Nebula",60,IF(Y126="Galaxy",90,IF(Y126="Globular Cluster",30,IF(Y126="Open Cluster",20,IF(Y126="Comet",20,IF(Y126="Planet",10,IF(Y126="Star",5,45)))))))))</f>
        <v>45</v>
      </c>
      <c r="AD126">
        <f>MAX(1,MIN(10,ROUND((IF(S126="",5,IF(S126&lt;3,2,IF(S126&lt;10,4,IF(S126&lt;=70,8,IF(S126&lt;=100,6,4))))))+IF(Y126="Emission Nebula",2,IF(Y126="Open Cluster",2,IF(Y126="Globular Cluster",2,IF(Y126="Reflection Nebula",1,IF(Y126="Planetary Nebula",1,IF(Y126="Comet",1,0))))))+IF(Z126="High (easy)",2,IF(Z126="Medium",1,IF(Z126="Low (hard)",-1,0)))+IF(AA126="High (OK with Moon)",2,IF(AA126="Medium",0,IF(AA126="Low (needs dark)",-2,0)))+IF(AC126="High (best &gt;50°)",1,IF(AC126="Medium",0,IF(AC126="Low (OK)",-1,0))),0)))</f>
        <v>5</v>
      </c>
      <c r="AE126" t="str">
        <f ca="1">IF(AND(CHOOSE(MONTH(TODAY()),G126,H126,I126,J126,K126,L126,M126,N126,O126,P126,Q126,R126)="✔",AD126&gt;=7,AM126="Yes",AO126&gt;=50,OR(X126="No",X126=""),OR(E126="No",V126="Yes")),"⭐ PICK","")</f>
        <v/>
      </c>
      <c r="AI126">
        <v>10.782999999999999</v>
      </c>
      <c r="AJ126">
        <v>12.567</v>
      </c>
      <c r="AK126" t="s">
        <v>8</v>
      </c>
      <c r="AL126" s="5">
        <f ca="1">IFERROR(MOD((AI126-(MOD(18.697374558+24.065709824419*(TODAY()-DATE(2000,1,1)+0.5)+$AZ$1/15,24)))/1.00273790935,24)/24,"")</f>
        <v>0.21307649734416154</v>
      </c>
      <c r="AM126" t="str">
        <f>IF(AO126&gt;=20,"Yes","No")</f>
        <v>Yes</v>
      </c>
      <c r="AN126" s="7" t="str">
        <f ca="1">IF(AM126="Yes",TEXT(AL126,"h:mm AM/PM"),"")</f>
        <v>5:06 AM</v>
      </c>
      <c r="AO126">
        <v>66.599999999999994</v>
      </c>
      <c r="AP126">
        <f>ROUND(MAX(0,MIN(10,(AO126-20)/6)),1)</f>
        <v>7.8</v>
      </c>
      <c r="AQ126" t="str">
        <f ca="1">IF(AE126="⭐ PICK","PICK at "&amp;AN126,"")</f>
        <v/>
      </c>
    </row>
    <row r="127" spans="1:43" x14ac:dyDescent="0.3">
      <c r="A127" t="s">
        <v>40</v>
      </c>
      <c r="B127" t="s">
        <v>209</v>
      </c>
      <c r="C127" t="s">
        <v>152</v>
      </c>
      <c r="D127" t="s">
        <v>179</v>
      </c>
      <c r="E127" t="s">
        <v>57</v>
      </c>
      <c r="I127" t="s">
        <v>45</v>
      </c>
      <c r="J127" t="s">
        <v>45</v>
      </c>
      <c r="K127" t="s">
        <v>45</v>
      </c>
      <c r="L127" t="s">
        <v>45</v>
      </c>
      <c r="S127">
        <v>10</v>
      </c>
      <c r="X127" t="str">
        <f>IF(S127="", "", IF(S127&gt;78,"Yes","No"))</f>
        <v>No</v>
      </c>
      <c r="Y127" t="s">
        <v>116</v>
      </c>
      <c r="Z127" t="s">
        <v>48</v>
      </c>
      <c r="AA127" t="s">
        <v>117</v>
      </c>
      <c r="AB127">
        <f>IF(Y127="Emission Nebula",90,IF(Y127="Reflection Nebula",75,IF(Y127="Planetary Nebula",60,IF(Y127="Galaxy",90,IF(Y127="Globular Cluster",30,IF(Y127="Open Cluster",20,IF(Y127="Comet",20,IF(Y127="Planet",10,IF(Y127="Star",5,45)))))))))</f>
        <v>90</v>
      </c>
      <c r="AC127" t="s">
        <v>49</v>
      </c>
      <c r="AD127">
        <f>MAX(1,MIN(10,ROUND((IF(S127="",5,IF(S127&lt;3,2,IF(S127&lt;10,4,IF(S127&lt;=70,8,IF(S127&lt;=100,6,4))))))+IF(Y127="Emission Nebula",2,IF(Y127="Open Cluster",2,IF(Y127="Globular Cluster",2,IF(Y127="Reflection Nebula",1,IF(Y127="Planetary Nebula",1,IF(Y127="Comet",1,0))))))+IF(Z127="High (easy)",2,IF(Z127="Medium",1,IF(Z127="Low (hard)",-1,0)))+IF(AA127="High (OK with Moon)",2,IF(AA127="Medium",0,IF(AA127="Low (needs dark)",-2,0)))+IF(AC127="High (best &gt;50°)",1,IF(AC127="Medium",0,IF(AC127="Low (OK)",-1,0))),0)))</f>
        <v>8</v>
      </c>
      <c r="AE127" t="str">
        <f ca="1">IF(AND(CHOOSE(MONTH(TODAY()),G127,H127,I127,J127,K127,L127,M127,N127,O127,P127,Q127,R127)="✔",AD127&gt;=7,AM127="Yes",AO127&gt;=50,OR(X127="No",X127=""),OR(E127="No",V127="Yes")),"⭐ PICK","")</f>
        <v>⭐ PICK</v>
      </c>
      <c r="AI127">
        <v>12.3</v>
      </c>
      <c r="AJ127">
        <v>47.3</v>
      </c>
      <c r="AK127" t="s">
        <v>9</v>
      </c>
      <c r="AL127" s="5">
        <f ca="1">IFERROR(MOD((AI127-(MOD(18.697374558+24.065709824419*(TODAY()-DATE(2000,1,1)+0.5)+$AZ$1/15,24)))/1.00273790935,24)/24,"")</f>
        <v>0.27611224451592908</v>
      </c>
      <c r="AM127" t="str">
        <f>IF(AO127&gt;=20,"Yes","No")</f>
        <v>Yes</v>
      </c>
      <c r="AN127" s="7" t="str">
        <f ca="1">IF(AM127="Yes",TEXT(AL127,"h:mm AM/PM"),"")</f>
        <v>6:37 AM</v>
      </c>
      <c r="AO127">
        <v>59.8</v>
      </c>
      <c r="AP127">
        <f>ROUND(MAX(0,MIN(10,(AO127-20)/6)),1)</f>
        <v>6.6</v>
      </c>
      <c r="AQ127" t="str">
        <f ca="1">IF(AE127="⭐ PICK","PICK at "&amp;AN127,"")</f>
        <v>PICK at 6:37 AM</v>
      </c>
    </row>
    <row r="128" spans="1:43" x14ac:dyDescent="0.3">
      <c r="A128" t="s">
        <v>40</v>
      </c>
      <c r="B128" t="s">
        <v>210</v>
      </c>
      <c r="D128" t="s">
        <v>69</v>
      </c>
      <c r="E128" t="s">
        <v>57</v>
      </c>
      <c r="G128" t="s">
        <v>45</v>
      </c>
      <c r="H128" t="s">
        <v>45</v>
      </c>
      <c r="I128" t="s">
        <v>45</v>
      </c>
      <c r="J128" t="s">
        <v>45</v>
      </c>
      <c r="K128" t="s">
        <v>45</v>
      </c>
      <c r="L128" t="s">
        <v>45</v>
      </c>
      <c r="M128" t="s">
        <v>45</v>
      </c>
      <c r="N128" t="s">
        <v>45</v>
      </c>
      <c r="O128" t="s">
        <v>45</v>
      </c>
      <c r="P128" t="s">
        <v>45</v>
      </c>
      <c r="Q128" t="s">
        <v>45</v>
      </c>
      <c r="R128" t="s">
        <v>45</v>
      </c>
      <c r="X128" t="str">
        <f>IF(S128="", "", IF(S128&gt;78,"Yes","No"))</f>
        <v/>
      </c>
      <c r="AB128">
        <f>IF(Y128="Emission Nebula",90,IF(Y128="Reflection Nebula",75,IF(Y128="Planetary Nebula",60,IF(Y128="Galaxy",90,IF(Y128="Globular Cluster",30,IF(Y128="Open Cluster",20,IF(Y128="Comet",20,IF(Y128="Planet",10,IF(Y128="Star",5,45)))))))))</f>
        <v>45</v>
      </c>
      <c r="AD128">
        <f>MAX(1,MIN(10,ROUND((IF(S128="",5,IF(S128&lt;3,2,IF(S128&lt;10,4,IF(S128&lt;=70,8,IF(S128&lt;=100,6,4))))))+IF(Y128="Emission Nebula",2,IF(Y128="Open Cluster",2,IF(Y128="Globular Cluster",2,IF(Y128="Reflection Nebula",1,IF(Y128="Planetary Nebula",1,IF(Y128="Comet",1,0))))))+IF(Z128="High (easy)",2,IF(Z128="Medium",1,IF(Z128="Low (hard)",-1,0)))+IF(AA128="High (OK with Moon)",2,IF(AA128="Medium",0,IF(AA128="Low (needs dark)",-2,0)))+IF(AC128="High (best &gt;50°)",1,IF(AC128="Medium",0,IF(AC128="Low (OK)",-1,0))),0)))</f>
        <v>5</v>
      </c>
      <c r="AE128" t="str">
        <f ca="1">IF(AND(CHOOSE(MONTH(TODAY()),G128,H128,I128,J128,K128,L128,M128,N128,O128,P128,Q128,R128)="✔",AD128&gt;=7,AM128="Yes",AO128&gt;=50,OR(X128="No",X128=""),OR(E128="No",V128="Yes")),"⭐ PICK","")</f>
        <v/>
      </c>
      <c r="AI128">
        <v>16.533000000000001</v>
      </c>
      <c r="AJ128">
        <v>-13.05</v>
      </c>
      <c r="AK128" t="s">
        <v>11</v>
      </c>
      <c r="AL128" s="5">
        <f ca="1">IFERROR(MOD((AI128-(MOD(18.697374558+24.065709824419*(TODAY()-DATE(2000,1,1)+0.5)+$AZ$1/15,24)))/1.00273790935,24)/24,"")</f>
        <v>0.45200566427736083</v>
      </c>
      <c r="AM128" t="str">
        <f>IF(AO128&gt;=20,"Yes","No")</f>
        <v>No</v>
      </c>
      <c r="AN128" s="7" t="str">
        <f>IF(AM128="Yes",TEXT(AL128,"h:mm AM/PM"),"")</f>
        <v/>
      </c>
      <c r="AO128">
        <v>-14.3</v>
      </c>
      <c r="AP128">
        <f>ROUND(MAX(0,MIN(10,(AO128-20)/6)),1)</f>
        <v>0</v>
      </c>
      <c r="AQ128" t="str">
        <f ca="1">IF(AE128="⭐ PICK","PICK at "&amp;AN128,"")</f>
        <v/>
      </c>
    </row>
    <row r="129" spans="1:43" hidden="1" x14ac:dyDescent="0.3">
      <c r="A129" t="s">
        <v>240</v>
      </c>
      <c r="B129" t="s">
        <v>294</v>
      </c>
      <c r="C129" t="s">
        <v>295</v>
      </c>
      <c r="D129" t="s">
        <v>136</v>
      </c>
      <c r="E129" t="s">
        <v>44</v>
      </c>
      <c r="G129" t="s">
        <v>45</v>
      </c>
      <c r="H129" t="s">
        <v>45</v>
      </c>
      <c r="I129" t="s">
        <v>45</v>
      </c>
      <c r="R129" t="s">
        <v>45</v>
      </c>
      <c r="S129">
        <v>40</v>
      </c>
      <c r="T129">
        <v>30</v>
      </c>
      <c r="V129" t="s">
        <v>382</v>
      </c>
      <c r="X129" t="str">
        <f>IF(S129="", "", IF(S129&gt;78,"Yes","No"))</f>
        <v>No</v>
      </c>
      <c r="Y129" t="s">
        <v>46</v>
      </c>
      <c r="Z129" t="s">
        <v>47</v>
      </c>
      <c r="AA129" t="s">
        <v>48</v>
      </c>
      <c r="AB129">
        <f>IF(Y129="Emission Nebula",90,IF(Y129="Reflection Nebula",75,IF(Y129="Planetary Nebula",60,IF(Y129="Galaxy",90,IF(Y129="Globular Cluster",30,IF(Y129="Open Cluster",20,IF(Y129="Comet",20,IF(Y129="Planet",10,IF(Y129="Star",5,45)))))))))</f>
        <v>90</v>
      </c>
      <c r="AC129" t="s">
        <v>49</v>
      </c>
      <c r="AD129">
        <f>MAX(1,MIN(10,ROUND((IF(S129="",5,IF(S129&lt;3,2,IF(S129&lt;10,4,IF(S129&lt;=70,8,IF(S129&lt;=100,6,4))))))+IF(Y129="Emission Nebula",2,IF(Y129="Open Cluster",2,IF(Y129="Globular Cluster",2,IF(Y129="Reflection Nebula",1,IF(Y129="Planetary Nebula",1,IF(Y129="Comet",1,0))))))+IF(Z129="High (easy)",2,IF(Z129="Medium",1,IF(Z129="Low (hard)",-1,0)))+IF(AA129="High (OK with Moon)",2,IF(AA129="Medium",0,IF(AA129="Low (needs dark)",-2,0)))+IF(AC129="High (best &gt;50°)",1,IF(AC129="Medium",0,IF(AC129="Low (OK)",-1,0))),0)))</f>
        <v>10</v>
      </c>
      <c r="AE129" t="str">
        <f ca="1">IF(AND(CHOOSE(MONTH(TODAY()),G129,H129,I129,J129,K129,L129,M129,N129,O129,P129,Q129,R129)="✔",AD129&gt;=7,OR(V129&lt;&gt;"No",V129=""),OR(X129="No",X129="")),"⭐ PICK","")</f>
        <v>⭐ PICK</v>
      </c>
      <c r="AI129">
        <v>12.893333333333331</v>
      </c>
      <c r="AJ129">
        <v>-60.333333333333343</v>
      </c>
    </row>
    <row r="130" spans="1:43" hidden="1" x14ac:dyDescent="0.3">
      <c r="A130" t="s">
        <v>240</v>
      </c>
      <c r="B130" t="s">
        <v>249</v>
      </c>
      <c r="C130" t="s">
        <v>250</v>
      </c>
      <c r="D130" t="s">
        <v>136</v>
      </c>
      <c r="E130" t="s">
        <v>44</v>
      </c>
      <c r="G130" t="s">
        <v>45</v>
      </c>
      <c r="H130" t="s">
        <v>45</v>
      </c>
      <c r="I130" t="s">
        <v>45</v>
      </c>
      <c r="R130" t="s">
        <v>45</v>
      </c>
      <c r="S130">
        <v>24</v>
      </c>
      <c r="T130">
        <v>20</v>
      </c>
      <c r="V130" t="s">
        <v>384</v>
      </c>
      <c r="X130" t="str">
        <f>IF(S130="", "", IF(S130&gt;78,"Yes","No"))</f>
        <v>No</v>
      </c>
      <c r="Y130" t="s">
        <v>70</v>
      </c>
      <c r="AB130">
        <f>IF(Y130="Emission Nebula",90,IF(Y130="Reflection Nebula",75,IF(Y130="Planetary Nebula",60,IF(Y130="Galaxy",90,IF(Y130="Globular Cluster",30,IF(Y130="Open Cluster",20,IF(Y130="Comet",20,IF(Y130="Planet",10,IF(Y130="Star",5,45)))))))))</f>
        <v>20</v>
      </c>
      <c r="AD130">
        <f>MAX(1,MIN(10,ROUND((IF(S130="",5,IF(S130&lt;3,2,IF(S130&lt;10,4,IF(S130&lt;=70,8,IF(S130&lt;=100,6,4))))))+IF(Y130="Emission Nebula",2,IF(Y130="Open Cluster",2,IF(Y130="Globular Cluster",2,IF(Y130="Reflection Nebula",1,IF(Y130="Planetary Nebula",1,IF(Y130="Comet",1,0))))))+IF(Z130="High (easy)",2,IF(Z130="Medium",1,IF(Z130="Low (hard)",-1,0)))+IF(AA130="High (OK with Moon)",2,IF(AA130="Medium",0,IF(AA130="Low (needs dark)",-2,0)))+IF(AC130="High (best &gt;50°)",1,IF(AC130="Medium",0,IF(AC130="Low (OK)",-1,0))),0)))</f>
        <v>10</v>
      </c>
      <c r="AE130" t="str">
        <f ca="1">IF(AND(CHOOSE(MONTH(TODAY()),G130,H130,I130,J130,K130,L130,M130,N130,O130,P130,Q130,R130)="✔",AD130&gt;=7,OR(V130&lt;&gt;"No",V130=""),OR(X130="No",X130="")),"⭐ PICK","")</f>
        <v>⭐ PICK</v>
      </c>
      <c r="AI130">
        <v>15.265000000000001</v>
      </c>
      <c r="AJ130">
        <v>56.31666666666667</v>
      </c>
    </row>
    <row r="131" spans="1:43" x14ac:dyDescent="0.3">
      <c r="A131" t="s">
        <v>40</v>
      </c>
      <c r="B131" t="s">
        <v>211</v>
      </c>
      <c r="D131" t="s">
        <v>69</v>
      </c>
      <c r="E131" t="s">
        <v>57</v>
      </c>
      <c r="G131" t="s">
        <v>45</v>
      </c>
      <c r="H131" t="s">
        <v>45</v>
      </c>
      <c r="I131" t="s">
        <v>45</v>
      </c>
      <c r="J131" t="s">
        <v>45</v>
      </c>
      <c r="K131" t="s">
        <v>45</v>
      </c>
      <c r="L131" t="s">
        <v>45</v>
      </c>
      <c r="M131" t="s">
        <v>45</v>
      </c>
      <c r="N131" t="s">
        <v>45</v>
      </c>
      <c r="O131" t="s">
        <v>45</v>
      </c>
      <c r="P131" t="s">
        <v>45</v>
      </c>
      <c r="Q131" t="s">
        <v>45</v>
      </c>
      <c r="R131" t="s">
        <v>45</v>
      </c>
      <c r="X131" t="str">
        <f>IF(S131="", "", IF(S131&gt;78,"Yes","No"))</f>
        <v/>
      </c>
      <c r="AB131">
        <f>IF(Y131="Emission Nebula",90,IF(Y131="Reflection Nebula",75,IF(Y131="Planetary Nebula",60,IF(Y131="Galaxy",90,IF(Y131="Globular Cluster",30,IF(Y131="Open Cluster",20,IF(Y131="Comet",20,IF(Y131="Planet",10,IF(Y131="Star",5,45)))))))))</f>
        <v>45</v>
      </c>
      <c r="AD131">
        <f>MAX(1,MIN(10,ROUND((IF(S131="",5,IF(S131&lt;3,2,IF(S131&lt;10,4,IF(S131&lt;=70,8,IF(S131&lt;=100,6,4))))))+IF(Y131="Emission Nebula",2,IF(Y131="Open Cluster",2,IF(Y131="Globular Cluster",2,IF(Y131="Reflection Nebula",1,IF(Y131="Planetary Nebula",1,IF(Y131="Comet",1,0))))))+IF(Z131="High (easy)",2,IF(Z131="Medium",1,IF(Z131="Low (hard)",-1,0)))+IF(AA131="High (OK with Moon)",2,IF(AA131="Medium",0,IF(AA131="Low (needs dark)",-2,0)))+IF(AC131="High (best &gt;50°)",1,IF(AC131="Medium",0,IF(AC131="Low (OK)",-1,0))),0)))</f>
        <v>5</v>
      </c>
      <c r="AE131" t="str">
        <f ca="1">IF(AND(CHOOSE(MONTH(TODAY()),G131,H131,I131,J131,K131,L131,M131,N131,O131,P131,Q131,R131)="✔",AD131&gt;=7,AM131="Yes",AO131&gt;=50,OR(X131="No",X131=""),OR(E131="No",V131="Yes")),"⭐ PICK","")</f>
        <v/>
      </c>
      <c r="AI131">
        <v>11.183</v>
      </c>
      <c r="AJ131">
        <v>55.667000000000002</v>
      </c>
      <c r="AK131" t="s">
        <v>9</v>
      </c>
      <c r="AL131" s="5">
        <f ca="1">IFERROR(MOD((AI131-(MOD(18.697374558+24.065709824419*(TODAY()-DATE(2000,1,1)+0.5)+$AZ$1/15,24)))/1.00273790935,24)/24,"")</f>
        <v>0.22969765678299278</v>
      </c>
      <c r="AM131" t="str">
        <f>IF(AO131&gt;=20,"Yes","No")</f>
        <v>Yes</v>
      </c>
      <c r="AN131" s="7" t="str">
        <f ca="1">IF(AM131="Yes",TEXT(AL131,"h:mm AM/PM"),"")</f>
        <v>5:30 AM</v>
      </c>
      <c r="AO131">
        <v>63.9</v>
      </c>
      <c r="AP131">
        <f>ROUND(MAX(0,MIN(10,(AO131-20)/6)),1)</f>
        <v>7.3</v>
      </c>
      <c r="AQ131" t="str">
        <f ca="1">IF(AE131="⭐ PICK","PICK at "&amp;AN131,"")</f>
        <v/>
      </c>
    </row>
    <row r="132" spans="1:43" x14ac:dyDescent="0.3">
      <c r="A132" t="s">
        <v>40</v>
      </c>
      <c r="B132" t="s">
        <v>78</v>
      </c>
      <c r="C132" t="s">
        <v>70</v>
      </c>
      <c r="D132" t="s">
        <v>69</v>
      </c>
      <c r="E132" t="s">
        <v>57</v>
      </c>
      <c r="G132" t="s">
        <v>45</v>
      </c>
      <c r="H132" t="s">
        <v>45</v>
      </c>
      <c r="I132" t="s">
        <v>45</v>
      </c>
      <c r="J132" t="s">
        <v>45</v>
      </c>
      <c r="K132" t="s">
        <v>45</v>
      </c>
      <c r="L132" t="s">
        <v>45</v>
      </c>
      <c r="M132" t="s">
        <v>45</v>
      </c>
      <c r="N132" t="s">
        <v>45</v>
      </c>
      <c r="O132" t="s">
        <v>45</v>
      </c>
      <c r="P132" t="s">
        <v>45</v>
      </c>
      <c r="Q132" t="s">
        <v>45</v>
      </c>
      <c r="R132" t="s">
        <v>45</v>
      </c>
      <c r="S132">
        <v>20</v>
      </c>
      <c r="X132" t="str">
        <f>IF(S132="", "", IF(S132&gt;78,"Yes","No"))</f>
        <v>No</v>
      </c>
      <c r="Y132" t="s">
        <v>70</v>
      </c>
      <c r="Z132" t="s">
        <v>47</v>
      </c>
      <c r="AA132" t="s">
        <v>56</v>
      </c>
      <c r="AB132">
        <f>IF(Y132="Emission Nebula",90,IF(Y132="Reflection Nebula",75,IF(Y132="Planetary Nebula",60,IF(Y132="Galaxy",90,IF(Y132="Globular Cluster",30,IF(Y132="Open Cluster",20,IF(Y132="Comet",20,IF(Y132="Planet",10,IF(Y132="Star",5,45)))))))))</f>
        <v>20</v>
      </c>
      <c r="AC132" t="s">
        <v>71</v>
      </c>
      <c r="AD132">
        <f>MAX(1,MIN(10,ROUND((IF(S132="",5,IF(S132&lt;3,2,IF(S132&lt;10,4,IF(S132&lt;=70,8,IF(S132&lt;=100,6,4))))))+IF(Y132="Emission Nebula",2,IF(Y132="Open Cluster",2,IF(Y132="Globular Cluster",2,IF(Y132="Reflection Nebula",1,IF(Y132="Planetary Nebula",1,IF(Y132="Comet",1,0))))))+IF(Z132="High (easy)",2,IF(Z132="Medium",1,IF(Z132="Low (hard)",-1,0)))+IF(AA132="High (OK with Moon)",2,IF(AA132="Medium",0,IF(AA132="Low (needs dark)",-2,0)))+IF(AC132="High (best &gt;50°)",1,IF(AC132="Medium",0,IF(AC132="Low (OK)",-1,0))),0)))</f>
        <v>10</v>
      </c>
      <c r="AE132" t="str">
        <f ca="1">IF(AND(CHOOSE(MONTH(TODAY()),G132,H132,I132,J132,K132,L132,M132,N132,O132,P132,Q132,R132)="✔",AD132&gt;=7,AM132="Yes",AO132&gt;=50,OR(X132="No",X132=""),OR(E132="No",V132="Yes")),"⭐ PICK","")</f>
        <v>⭐ PICK</v>
      </c>
      <c r="AI132">
        <v>11.95</v>
      </c>
      <c r="AJ132">
        <v>53.366999999999997</v>
      </c>
      <c r="AK132" t="s">
        <v>9</v>
      </c>
      <c r="AL132" s="5">
        <f ca="1">IFERROR(MOD((AI132-(MOD(18.697374558+24.065709824419*(TODAY()-DATE(2000,1,1)+0.5)+$AZ$1/15,24)))/1.00273790935,24)/24,"")</f>
        <v>0.26156873000695169</v>
      </c>
      <c r="AM132" t="str">
        <f>IF(AO132&gt;=20,"Yes","No")</f>
        <v>Yes</v>
      </c>
      <c r="AN132" s="7" t="str">
        <f ca="1">IF(AM132="Yes",TEXT(AL132,"h:mm AM/PM"),"")</f>
        <v>6:16 AM</v>
      </c>
      <c r="AO132">
        <v>60.5</v>
      </c>
      <c r="AP132">
        <f>ROUND(MAX(0,MIN(10,(AO132-20)/6)),1)</f>
        <v>6.8</v>
      </c>
      <c r="AQ132" t="str">
        <f ca="1">IF(AE132="⭐ PICK","PICK at "&amp;AN132,"")</f>
        <v>PICK at 6:16 AM</v>
      </c>
    </row>
    <row r="133" spans="1:43" x14ac:dyDescent="0.3">
      <c r="A133" t="s">
        <v>40</v>
      </c>
      <c r="B133" t="s">
        <v>212</v>
      </c>
      <c r="D133" t="s">
        <v>69</v>
      </c>
      <c r="E133" t="s">
        <v>57</v>
      </c>
      <c r="G133" t="s">
        <v>45</v>
      </c>
      <c r="H133" t="s">
        <v>45</v>
      </c>
      <c r="I133" t="s">
        <v>45</v>
      </c>
      <c r="J133" t="s">
        <v>45</v>
      </c>
      <c r="K133" t="s">
        <v>45</v>
      </c>
      <c r="L133" t="s">
        <v>45</v>
      </c>
      <c r="M133" t="s">
        <v>45</v>
      </c>
      <c r="N133" t="s">
        <v>45</v>
      </c>
      <c r="O133" t="s">
        <v>45</v>
      </c>
      <c r="P133" t="s">
        <v>45</v>
      </c>
      <c r="Q133" t="s">
        <v>45</v>
      </c>
      <c r="R133" t="s">
        <v>45</v>
      </c>
      <c r="X133" t="str">
        <f>IF(S133="", "", IF(S133&gt;78,"Yes","No"))</f>
        <v/>
      </c>
      <c r="AB133">
        <f>IF(Y133="Emission Nebula",90,IF(Y133="Reflection Nebula",75,IF(Y133="Planetary Nebula",60,IF(Y133="Galaxy",90,IF(Y133="Globular Cluster",30,IF(Y133="Open Cluster",20,IF(Y133="Comet",20,IF(Y133="Planet",10,IF(Y133="Star",5,45)))))))))</f>
        <v>45</v>
      </c>
      <c r="AD133">
        <f>MAX(1,MIN(10,ROUND((IF(S133="",5,IF(S133&lt;3,2,IF(S133&lt;10,4,IF(S133&lt;=70,8,IF(S133&lt;=100,6,4))))))+IF(Y133="Emission Nebula",2,IF(Y133="Open Cluster",2,IF(Y133="Globular Cluster",2,IF(Y133="Reflection Nebula",1,IF(Y133="Planetary Nebula",1,IF(Y133="Comet",1,0))))))+IF(Z133="High (easy)",2,IF(Z133="Medium",1,IF(Z133="Low (hard)",-1,0)))+IF(AA133="High (OK with Moon)",2,IF(AA133="Medium",0,IF(AA133="Low (needs dark)",-2,0)))+IF(AC133="High (best &gt;50°)",1,IF(AC133="Medium",0,IF(AC133="Low (OK)",-1,0))),0)))</f>
        <v>5</v>
      </c>
      <c r="AE133" t="str">
        <f ca="1">IF(AND(CHOOSE(MONTH(TODAY()),G133,H133,I133,J133,K133,L133,M133,N133,O133,P133,Q133,R133)="✔",AD133&gt;=7,AM133="Yes",AO133&gt;=50,OR(X133="No",X133=""),OR(E133="No",V133="Yes")),"⭐ PICK","")</f>
        <v/>
      </c>
      <c r="AI133">
        <v>0.66700000000000004</v>
      </c>
      <c r="AJ133">
        <v>41.683</v>
      </c>
      <c r="AK133" t="s">
        <v>15</v>
      </c>
      <c r="AL133" s="5">
        <f ca="1">IFERROR(MOD((AI133-(MOD(18.697374558+24.065709824419*(TODAY()-DATE(2000,1,1)+0.5)+$AZ$1/15,24)))/1.00273790935,24)/24,"")</f>
        <v>0.79272737513611924</v>
      </c>
      <c r="AM133" t="str">
        <f>IF(AO133&gt;=20,"Yes","No")</f>
        <v>Yes</v>
      </c>
      <c r="AN133" s="7" t="str">
        <f ca="1">IF(AM133="Yes",TEXT(AL133,"h:mm AM/PM"),"")</f>
        <v>7:01 PM</v>
      </c>
      <c r="AO133">
        <v>72.7</v>
      </c>
      <c r="AP133">
        <f>ROUND(MAX(0,MIN(10,(AO133-20)/6)),1)</f>
        <v>8.8000000000000007</v>
      </c>
      <c r="AQ133" t="str">
        <f ca="1">IF(AE133="⭐ PICK","PICK at "&amp;AN133,"")</f>
        <v/>
      </c>
    </row>
    <row r="134" spans="1:43" x14ac:dyDescent="0.3">
      <c r="A134" t="s">
        <v>40</v>
      </c>
      <c r="B134" t="s">
        <v>213</v>
      </c>
      <c r="D134" t="s">
        <v>69</v>
      </c>
      <c r="E134" t="s">
        <v>57</v>
      </c>
      <c r="G134" t="s">
        <v>45</v>
      </c>
      <c r="H134" t="s">
        <v>45</v>
      </c>
      <c r="I134" t="s">
        <v>45</v>
      </c>
      <c r="J134" t="s">
        <v>45</v>
      </c>
      <c r="K134" t="s">
        <v>45</v>
      </c>
      <c r="L134" t="s">
        <v>45</v>
      </c>
      <c r="M134" t="s">
        <v>45</v>
      </c>
      <c r="N134" t="s">
        <v>45</v>
      </c>
      <c r="O134" t="s">
        <v>45</v>
      </c>
      <c r="P134" t="s">
        <v>45</v>
      </c>
      <c r="Q134" t="s">
        <v>45</v>
      </c>
      <c r="R134" t="s">
        <v>45</v>
      </c>
      <c r="X134" t="str">
        <f>IF(S134="", "", IF(S134&gt;78,"Yes","No"))</f>
        <v/>
      </c>
      <c r="AB134">
        <f>IF(Y134="Emission Nebula",90,IF(Y134="Reflection Nebula",75,IF(Y134="Planetary Nebula",60,IF(Y134="Galaxy",90,IF(Y134="Globular Cluster",30,IF(Y134="Open Cluster",20,IF(Y134="Comet",20,IF(Y134="Planet",10,IF(Y134="Star",5,45)))))))))</f>
        <v>45</v>
      </c>
      <c r="AD134">
        <f>MAX(1,MIN(10,ROUND((IF(S134="",5,IF(S134&lt;3,2,IF(S134&lt;10,4,IF(S134&lt;=70,8,IF(S134&lt;=100,6,4))))))+IF(Y134="Emission Nebula",2,IF(Y134="Open Cluster",2,IF(Y134="Globular Cluster",2,IF(Y134="Reflection Nebula",1,IF(Y134="Planetary Nebula",1,IF(Y134="Comet",1,0))))))+IF(Z134="High (easy)",2,IF(Z134="Medium",1,IF(Z134="Low (hard)",-1,0)))+IF(AA134="High (OK with Moon)",2,IF(AA134="Medium",0,IF(AA134="Low (needs dark)",-2,0)))+IF(AC134="High (best &gt;50°)",1,IF(AC134="Medium",0,IF(AC134="Low (OK)",-1,0))),0)))</f>
        <v>5</v>
      </c>
      <c r="AE134" t="str">
        <f ca="1">IF(AND(CHOOSE(MONTH(TODAY()),G134,H134,I134,J134,K134,L134,M134,N134,O134,P134,Q134,R134)="✔",AD134&gt;=7,AM134="Yes",AO134&gt;=50,OR(X134="No",X134=""),OR(E134="No",V134="Yes")),"⭐ PICK","")</f>
        <v/>
      </c>
      <c r="AI134">
        <v>2.316666666666666</v>
      </c>
      <c r="AJ134">
        <v>57.15</v>
      </c>
      <c r="AL134" s="5">
        <f ca="1">IFERROR(MOD((AI134-(MOD(18.697374558+24.065709824419*(TODAY()-DATE(2000,1,1)+0.5)+$AZ$1/15,24)))/1.00273790935,24)/24,"")</f>
        <v>0.86127580685509908</v>
      </c>
      <c r="AM134" t="str">
        <f>IF(AO134&gt;=20,"Yes","No")</f>
        <v>No</v>
      </c>
      <c r="AN134" s="7" t="str">
        <f>IF(AM134="Yes",TEXT(AL134,"h:mm AM/PM"),"")</f>
        <v/>
      </c>
      <c r="AP134">
        <f>ROUND(MAX(0,MIN(10,(AO134-20)/6)),1)</f>
        <v>0</v>
      </c>
      <c r="AQ134" t="str">
        <f ca="1">IF(AE134="⭐ PICK","PICK at "&amp;AN134,"")</f>
        <v/>
      </c>
    </row>
    <row r="135" spans="1:43" x14ac:dyDescent="0.3">
      <c r="A135" t="s">
        <v>40</v>
      </c>
      <c r="B135" t="s">
        <v>214</v>
      </c>
      <c r="C135" t="s">
        <v>54</v>
      </c>
      <c r="D135" t="s">
        <v>60</v>
      </c>
      <c r="E135" t="s">
        <v>57</v>
      </c>
      <c r="K135" t="s">
        <v>45</v>
      </c>
      <c r="L135" t="s">
        <v>45</v>
      </c>
      <c r="M135" t="s">
        <v>45</v>
      </c>
      <c r="S135">
        <v>10</v>
      </c>
      <c r="X135" t="str">
        <f>IF(S135="", "", IF(S135&gt;78,"Yes","No"))</f>
        <v>No</v>
      </c>
      <c r="Y135" t="s">
        <v>54</v>
      </c>
      <c r="Z135" t="s">
        <v>47</v>
      </c>
      <c r="AA135" t="s">
        <v>56</v>
      </c>
      <c r="AB135">
        <f>IF(Y135="Emission Nebula",90,IF(Y135="Reflection Nebula",75,IF(Y135="Planetary Nebula",60,IF(Y135="Galaxy",90,IF(Y135="Globular Cluster",30,IF(Y135="Open Cluster",20,IF(Y135="Comet",20,IF(Y135="Planet",10,IF(Y135="Star",5,45)))))))))</f>
        <v>30</v>
      </c>
      <c r="AC135" t="s">
        <v>48</v>
      </c>
      <c r="AD135">
        <f>MAX(1,MIN(10,ROUND((IF(S135="",5,IF(S135&lt;3,2,IF(S135&lt;10,4,IF(S135&lt;=70,8,IF(S135&lt;=100,6,4))))))+IF(Y135="Emission Nebula",2,IF(Y135="Open Cluster",2,IF(Y135="Globular Cluster",2,IF(Y135="Reflection Nebula",1,IF(Y135="Planetary Nebula",1,IF(Y135="Comet",1,0))))))+IF(Z135="High (easy)",2,IF(Z135="Medium",1,IF(Z135="Low (hard)",-1,0)))+IF(AA135="High (OK with Moon)",2,IF(AA135="Medium",0,IF(AA135="Low (needs dark)",-2,0)))+IF(AC135="High (best &gt;50°)",1,IF(AC135="Medium",0,IF(AC135="Low (OK)",-1,0))),0)))</f>
        <v>10</v>
      </c>
      <c r="AE135" t="str">
        <f ca="1">IF(AND(CHOOSE(MONTH(TODAY()),G135,H135,I135,J135,K135,L135,M135,N135,O135,P135,Q135,R135)="✔",AD135&gt;=7,AM135="Yes",AO135&gt;=50,OR(X135="No",X135=""),OR(E135="No",V135="Yes")),"⭐ PICK","")</f>
        <v/>
      </c>
      <c r="AI135">
        <v>2.3733333333333331</v>
      </c>
      <c r="AJ135">
        <v>57.116666666666667</v>
      </c>
      <c r="AL135" s="5">
        <f ca="1">IFERROR(MOD((AI135-(MOD(18.697374558+24.065709824419*(TODAY()-DATE(2000,1,1)+0.5)+$AZ$1/15,24)))/1.00273790935,24)/24,"")</f>
        <v>0.86363047110893343</v>
      </c>
      <c r="AM135" t="str">
        <f>IF(AO135&gt;=20,"Yes","No")</f>
        <v>No</v>
      </c>
      <c r="AN135" s="7" t="str">
        <f>IF(AM135="Yes",TEXT(AL135,"h:mm AM/PM"),"")</f>
        <v/>
      </c>
      <c r="AP135">
        <f>ROUND(MAX(0,MIN(10,(AO135-20)/6)),1)</f>
        <v>0</v>
      </c>
      <c r="AQ135" t="str">
        <f ca="1">IF(AE135="⭐ PICK","PICK at "&amp;AN135,"")</f>
        <v/>
      </c>
    </row>
    <row r="136" spans="1:43" x14ac:dyDescent="0.3">
      <c r="A136" t="s">
        <v>40</v>
      </c>
      <c r="B136" t="s">
        <v>216</v>
      </c>
      <c r="C136" t="s">
        <v>116</v>
      </c>
      <c r="D136" t="s">
        <v>179</v>
      </c>
      <c r="E136" t="s">
        <v>57</v>
      </c>
      <c r="I136" t="s">
        <v>45</v>
      </c>
      <c r="J136" t="s">
        <v>45</v>
      </c>
      <c r="K136" t="s">
        <v>45</v>
      </c>
      <c r="L136" t="s">
        <v>45</v>
      </c>
      <c r="S136">
        <v>10</v>
      </c>
      <c r="X136" t="str">
        <f>IF(S136="", "", IF(S136&gt;78,"Yes","No"))</f>
        <v>No</v>
      </c>
      <c r="Y136" t="s">
        <v>116</v>
      </c>
      <c r="Z136" t="s">
        <v>48</v>
      </c>
      <c r="AA136" t="s">
        <v>117</v>
      </c>
      <c r="AB136">
        <f>IF(Y136="Emission Nebula",90,IF(Y136="Reflection Nebula",75,IF(Y136="Planetary Nebula",60,IF(Y136="Galaxy",90,IF(Y136="Globular Cluster",30,IF(Y136="Open Cluster",20,IF(Y136="Comet",20,IF(Y136="Planet",10,IF(Y136="Star",5,45)))))))))</f>
        <v>90</v>
      </c>
      <c r="AC136" t="s">
        <v>49</v>
      </c>
      <c r="AD136">
        <f>MAX(1,MIN(10,ROUND((IF(S136="",5,IF(S136&lt;3,2,IF(S136&lt;10,4,IF(S136&lt;=70,8,IF(S136&lt;=100,6,4))))))+IF(Y136="Emission Nebula",2,IF(Y136="Open Cluster",2,IF(Y136="Globular Cluster",2,IF(Y136="Reflection Nebula",1,IF(Y136="Planetary Nebula",1,IF(Y136="Comet",1,0))))))+IF(Z136="High (easy)",2,IF(Z136="Medium",1,IF(Z136="Low (hard)",-1,0)))+IF(AA136="High (OK with Moon)",2,IF(AA136="Medium",0,IF(AA136="Low (needs dark)",-2,0)))+IF(AC136="High (best &gt;50°)",1,IF(AC136="Medium",0,IF(AC136="Low (OK)",-1,0))),0)))</f>
        <v>8</v>
      </c>
      <c r="AE136" t="str">
        <f ca="1">IF(AND(CHOOSE(MONTH(TODAY()),G136,H136,I136,J136,K136,L136,M136,N136,O136,P136,Q136,R136)="✔",AD136&gt;=7,AM136="Yes",AO136&gt;=50,OR(X136="No",X136=""),OR(E136="No",V136="Yes")),"⭐ PICK","")</f>
        <v/>
      </c>
      <c r="AI136">
        <v>6.54</v>
      </c>
      <c r="AJ136">
        <v>4.8666666666666671</v>
      </c>
      <c r="AL136" s="5">
        <f ca="1">IFERROR(MOD((AI136-(MOD(18.697374558+24.065709824419*(TODAY()-DATE(2000,1,1)+0.5)+$AZ$1/15,24)))/1.00273790935,24)/24,"")</f>
        <v>3.6767548596759056E-2</v>
      </c>
      <c r="AM136" t="str">
        <f>IF(AO136&gt;=20,"Yes","No")</f>
        <v>No</v>
      </c>
      <c r="AN136" s="7" t="str">
        <f>IF(AM136="Yes",TEXT(AL136,"h:mm AM/PM"),"")</f>
        <v/>
      </c>
      <c r="AP136">
        <f>ROUND(MAX(0,MIN(10,(AO136-20)/6)),1)</f>
        <v>0</v>
      </c>
      <c r="AQ136" t="str">
        <f ca="1">IF(AE136="⭐ PICK","PICK at "&amp;AN136,"")</f>
        <v/>
      </c>
    </row>
    <row r="137" spans="1:43" x14ac:dyDescent="0.3">
      <c r="A137" t="s">
        <v>40</v>
      </c>
      <c r="B137" t="s">
        <v>217</v>
      </c>
      <c r="C137" t="s">
        <v>218</v>
      </c>
      <c r="D137" t="s">
        <v>179</v>
      </c>
      <c r="E137" t="s">
        <v>57</v>
      </c>
      <c r="I137" t="s">
        <v>45</v>
      </c>
      <c r="J137" t="s">
        <v>45</v>
      </c>
      <c r="K137" t="s">
        <v>45</v>
      </c>
      <c r="L137" t="s">
        <v>45</v>
      </c>
      <c r="S137">
        <v>10</v>
      </c>
      <c r="X137" t="str">
        <f>IF(S137="", "", IF(S137&gt;78,"Yes","No"))</f>
        <v>No</v>
      </c>
      <c r="Y137" t="s">
        <v>116</v>
      </c>
      <c r="Z137" t="s">
        <v>48</v>
      </c>
      <c r="AA137" t="s">
        <v>117</v>
      </c>
      <c r="AB137">
        <f>IF(Y137="Emission Nebula",90,IF(Y137="Reflection Nebula",75,IF(Y137="Planetary Nebula",60,IF(Y137="Galaxy",90,IF(Y137="Globular Cluster",30,IF(Y137="Open Cluster",20,IF(Y137="Comet",20,IF(Y137="Planet",10,IF(Y137="Star",5,45)))))))))</f>
        <v>90</v>
      </c>
      <c r="AC137" t="s">
        <v>49</v>
      </c>
      <c r="AD137">
        <f>MAX(1,MIN(10,ROUND((IF(S137="",5,IF(S137&lt;3,2,IF(S137&lt;10,4,IF(S137&lt;=70,8,IF(S137&lt;=100,6,4))))))+IF(Y137="Emission Nebula",2,IF(Y137="Open Cluster",2,IF(Y137="Globular Cluster",2,IF(Y137="Reflection Nebula",1,IF(Y137="Planetary Nebula",1,IF(Y137="Comet",1,0))))))+IF(Z137="High (easy)",2,IF(Z137="Medium",1,IF(Z137="Low (hard)",-1,0)))+IF(AA137="High (OK with Moon)",2,IF(AA137="Medium",0,IF(AA137="Low (needs dark)",-2,0)))+IF(AC137="High (best &gt;50°)",1,IF(AC137="Medium",0,IF(AC137="Low (OK)",-1,0))),0)))</f>
        <v>8</v>
      </c>
      <c r="AE137" t="str">
        <f ca="1">IF(AND(CHOOSE(MONTH(TODAY()),G137,H137,I137,J137,K137,L137,M137,N137,O137,P137,Q137,R137)="✔",AD137&gt;=7,AM137="Yes",AO137&gt;=50,OR(X137="No",X137=""),OR(E137="No",V137="Yes")),"⭐ PICK","")</f>
        <v/>
      </c>
      <c r="AI137">
        <v>7.4866666666666664</v>
      </c>
      <c r="AJ137">
        <v>20.916666666666671</v>
      </c>
      <c r="AL137" s="5">
        <f ca="1">IFERROR(MOD((AI137-(MOD(18.697374558+24.065709824419*(TODAY()-DATE(2000,1,1)+0.5)+$AZ$1/15,24)))/1.00273790935,24)/24,"")</f>
        <v>7.6104292601993001E-2</v>
      </c>
      <c r="AM137" t="str">
        <f>IF(AO137&gt;=20,"Yes","No")</f>
        <v>No</v>
      </c>
      <c r="AN137" s="7" t="str">
        <f>IF(AM137="Yes",TEXT(AL137,"h:mm AM/PM"),"")</f>
        <v/>
      </c>
      <c r="AP137">
        <f>ROUND(MAX(0,MIN(10,(AO137-20)/6)),1)</f>
        <v>0</v>
      </c>
      <c r="AQ137" t="str">
        <f ca="1">IF(AE137="⭐ PICK","PICK at "&amp;AN137,"")</f>
        <v/>
      </c>
    </row>
    <row r="138" spans="1:43" x14ac:dyDescent="0.3">
      <c r="A138" t="s">
        <v>40</v>
      </c>
      <c r="B138" t="s">
        <v>219</v>
      </c>
      <c r="C138" t="s">
        <v>190</v>
      </c>
      <c r="D138" t="s">
        <v>179</v>
      </c>
      <c r="E138" t="s">
        <v>57</v>
      </c>
      <c r="I138" t="s">
        <v>45</v>
      </c>
      <c r="J138" t="s">
        <v>45</v>
      </c>
      <c r="K138" t="s">
        <v>45</v>
      </c>
      <c r="L138" t="s">
        <v>45</v>
      </c>
      <c r="S138">
        <v>10</v>
      </c>
      <c r="X138" t="str">
        <f>IF(S138="", "", IF(S138&gt;78,"Yes","No"))</f>
        <v>No</v>
      </c>
      <c r="Y138" t="s">
        <v>116</v>
      </c>
      <c r="Z138" t="s">
        <v>48</v>
      </c>
      <c r="AA138" t="s">
        <v>117</v>
      </c>
      <c r="AB138">
        <f>IF(Y138="Emission Nebula",90,IF(Y138="Reflection Nebula",75,IF(Y138="Planetary Nebula",60,IF(Y138="Galaxy",90,IF(Y138="Globular Cluster",30,IF(Y138="Open Cluster",20,IF(Y138="Comet",20,IF(Y138="Planet",10,IF(Y138="Star",5,45)))))))))</f>
        <v>90</v>
      </c>
      <c r="AC138" t="s">
        <v>49</v>
      </c>
      <c r="AD138">
        <f>MAX(1,MIN(10,ROUND((IF(S138="",5,IF(S138&lt;3,2,IF(S138&lt;10,4,IF(S138&lt;=70,8,IF(S138&lt;=100,6,4))))))+IF(Y138="Emission Nebula",2,IF(Y138="Open Cluster",2,IF(Y138="Globular Cluster",2,IF(Y138="Reflection Nebula",1,IF(Y138="Planetary Nebula",1,IF(Y138="Comet",1,0))))))+IF(Z138="High (easy)",2,IF(Z138="Medium",1,IF(Z138="Low (hard)",-1,0)))+IF(AA138="High (OK with Moon)",2,IF(AA138="Medium",0,IF(AA138="Low (needs dark)",-2,0)))+IF(AC138="High (best &gt;50°)",1,IF(AC138="Medium",0,IF(AC138="Low (OK)",-1,0))),0)))</f>
        <v>8</v>
      </c>
      <c r="AE138" t="str">
        <f ca="1">IF(AND(CHOOSE(MONTH(TODAY()),G138,H138,I138,J138,K138,L138,M138,N138,O138,P138,Q138,R138)="✔",AD138&gt;=7,AM138="Yes",AO138&gt;=50,OR(X138="No",X138=""),OR(E138="No",V138="Yes")),"⭐ PICK","")</f>
        <v/>
      </c>
      <c r="AI138">
        <v>7.6349999999999998</v>
      </c>
      <c r="AJ138">
        <v>38.883333333333333</v>
      </c>
      <c r="AL138" s="5">
        <f ca="1">IFERROR(MOD((AI138-(MOD(18.697374558+24.065709824419*(TODAY()-DATE(2000,1,1)+0.5)+$AZ$1/15,24)))/1.00273790935,24)/24,"")</f>
        <v>8.2267972560559594E-2</v>
      </c>
      <c r="AM138" t="str">
        <f>IF(AO138&gt;=20,"Yes","No")</f>
        <v>No</v>
      </c>
      <c r="AN138" s="7" t="str">
        <f>IF(AM138="Yes",TEXT(AL138,"h:mm AM/PM"),"")</f>
        <v/>
      </c>
      <c r="AP138">
        <f>ROUND(MAX(0,MIN(10,(AO138-20)/6)),1)</f>
        <v>0</v>
      </c>
      <c r="AQ138" t="str">
        <f ca="1">IF(AE138="⭐ PICK","PICK at "&amp;AN138,"")</f>
        <v/>
      </c>
    </row>
    <row r="139" spans="1:43" x14ac:dyDescent="0.3">
      <c r="A139" t="s">
        <v>40</v>
      </c>
      <c r="B139" t="s">
        <v>222</v>
      </c>
      <c r="D139" t="s">
        <v>69</v>
      </c>
      <c r="E139" t="s">
        <v>57</v>
      </c>
      <c r="G139" t="s">
        <v>45</v>
      </c>
      <c r="H139" t="s">
        <v>45</v>
      </c>
      <c r="I139" t="s">
        <v>45</v>
      </c>
      <c r="J139" t="s">
        <v>45</v>
      </c>
      <c r="K139" t="s">
        <v>45</v>
      </c>
      <c r="L139" t="s">
        <v>45</v>
      </c>
      <c r="M139" t="s">
        <v>45</v>
      </c>
      <c r="N139" t="s">
        <v>45</v>
      </c>
      <c r="O139" t="s">
        <v>45</v>
      </c>
      <c r="P139" t="s">
        <v>45</v>
      </c>
      <c r="Q139" t="s">
        <v>45</v>
      </c>
      <c r="R139" t="s">
        <v>45</v>
      </c>
      <c r="X139" t="str">
        <f>IF(S139="", "", IF(S139&gt;78,"Yes","No"))</f>
        <v/>
      </c>
      <c r="AB139">
        <f>IF(Y139="Emission Nebula",90,IF(Y139="Reflection Nebula",75,IF(Y139="Planetary Nebula",60,IF(Y139="Galaxy",90,IF(Y139="Globular Cluster",30,IF(Y139="Open Cluster",20,IF(Y139="Comet",20,IF(Y139="Planet",10,IF(Y139="Star",5,45)))))))))</f>
        <v>45</v>
      </c>
      <c r="AD139">
        <f>MAX(1,MIN(10,ROUND((IF(S139="",5,IF(S139&lt;3,2,IF(S139&lt;10,4,IF(S139&lt;=70,8,IF(S139&lt;=100,6,4))))))+IF(Y139="Emission Nebula",2,IF(Y139="Open Cluster",2,IF(Y139="Globular Cluster",2,IF(Y139="Reflection Nebula",1,IF(Y139="Planetary Nebula",1,IF(Y139="Comet",1,0))))))+IF(Z139="High (easy)",2,IF(Z139="Medium",1,IF(Z139="Low (hard)",-1,0)))+IF(AA139="High (OK with Moon)",2,IF(AA139="Medium",0,IF(AA139="Low (needs dark)",-2,0)))+IF(AC139="High (best &gt;50°)",1,IF(AC139="Medium",0,IF(AC139="Low (OK)",-1,0))),0)))</f>
        <v>5</v>
      </c>
      <c r="AE139" t="str">
        <f ca="1">IF(AND(CHOOSE(MONTH(TODAY()),G139,H139,I139,J139,K139,L139,M139,N139,O139,P139,Q139,R139)="✔",AD139&gt;=7,AM139="Yes",AO139&gt;=50,OR(X139="No",X139=""),OR(E139="No",V139="Yes")),"⭐ PICK","")</f>
        <v/>
      </c>
      <c r="AI139">
        <v>9.5366666666666671</v>
      </c>
      <c r="AJ139">
        <v>21.5</v>
      </c>
      <c r="AL139" s="5">
        <f ca="1">IFERROR(MOD((AI139-(MOD(18.697374558+24.065709824419*(TODAY()-DATE(2000,1,1)+0.5)+$AZ$1/15,24)))/1.00273790935,24)/24,"")</f>
        <v>0.16128773472600319</v>
      </c>
      <c r="AM139" t="str">
        <f>IF(AO139&gt;=20,"Yes","No")</f>
        <v>No</v>
      </c>
      <c r="AN139" s="7" t="str">
        <f>IF(AM139="Yes",TEXT(AL139,"h:mm AM/PM"),"")</f>
        <v/>
      </c>
      <c r="AP139">
        <f>ROUND(MAX(0,MIN(10,(AO139-20)/6)),1)</f>
        <v>0</v>
      </c>
      <c r="AQ139" t="str">
        <f ca="1">IF(AE139="⭐ PICK","PICK at "&amp;AN139,"")</f>
        <v/>
      </c>
    </row>
    <row r="140" spans="1:43" x14ac:dyDescent="0.3">
      <c r="A140" t="s">
        <v>40</v>
      </c>
      <c r="B140" t="s">
        <v>224</v>
      </c>
      <c r="C140" t="s">
        <v>190</v>
      </c>
      <c r="D140" t="s">
        <v>179</v>
      </c>
      <c r="E140" t="s">
        <v>57</v>
      </c>
      <c r="I140" t="s">
        <v>45</v>
      </c>
      <c r="J140" t="s">
        <v>45</v>
      </c>
      <c r="K140" t="s">
        <v>45</v>
      </c>
      <c r="L140" t="s">
        <v>45</v>
      </c>
      <c r="S140">
        <v>10</v>
      </c>
      <c r="X140" t="str">
        <f>IF(S140="", "", IF(S140&gt;78,"Yes","No"))</f>
        <v>No</v>
      </c>
      <c r="Y140" t="s">
        <v>116</v>
      </c>
      <c r="Z140" t="s">
        <v>48</v>
      </c>
      <c r="AA140" t="s">
        <v>117</v>
      </c>
      <c r="AB140">
        <f>IF(Y140="Emission Nebula",90,IF(Y140="Reflection Nebula",75,IF(Y140="Planetary Nebula",60,IF(Y140="Galaxy",90,IF(Y140="Globular Cluster",30,IF(Y140="Open Cluster",20,IF(Y140="Comet",20,IF(Y140="Planet",10,IF(Y140="Star",5,45)))))))))</f>
        <v>90</v>
      </c>
      <c r="AC140" t="s">
        <v>49</v>
      </c>
      <c r="AD140">
        <f>MAX(1,MIN(10,ROUND((IF(S140="",5,IF(S140&lt;3,2,IF(S140&lt;10,4,IF(S140&lt;=70,8,IF(S140&lt;=100,6,4))))))+IF(Y140="Emission Nebula",2,IF(Y140="Open Cluster",2,IF(Y140="Globular Cluster",2,IF(Y140="Reflection Nebula",1,IF(Y140="Planetary Nebula",1,IF(Y140="Comet",1,0))))))+IF(Z140="High (easy)",2,IF(Z140="Medium",1,IF(Z140="Low (hard)",-1,0)))+IF(AA140="High (OK with Moon)",2,IF(AA140="Medium",0,IF(AA140="Low (needs dark)",-2,0)))+IF(AC140="High (best &gt;50°)",1,IF(AC140="Medium",0,IF(AC140="Low (OK)",-1,0))),0)))</f>
        <v>8</v>
      </c>
      <c r="AE140" t="str">
        <f ca="1">IF(AND(CHOOSE(MONTH(TODAY()),G140,H140,I140,J140,K140,L140,M140,N140,O140,P140,Q140,R140)="✔",AD140&gt;=7,AM140="Yes",AO140&gt;=50,OR(X140="No",X140=""),OR(E140="No",V140="Yes")),"⭐ PICK","")</f>
        <v/>
      </c>
      <c r="AI140">
        <v>10.055</v>
      </c>
      <c r="AJ140">
        <v>68.733333333333334</v>
      </c>
      <c r="AL140" s="5">
        <f ca="1">IFERROR(MOD((AI140-(MOD(18.697374558+24.065709824419*(TODAY()-DATE(2000,1,1)+0.5)+$AZ$1/15,24)))/1.00273790935,24)/24,"")</f>
        <v>0.18282598716548867</v>
      </c>
      <c r="AM140" t="str">
        <f>IF(AO140&gt;=20,"Yes","No")</f>
        <v>No</v>
      </c>
      <c r="AN140" s="7" t="str">
        <f>IF(AM140="Yes",TEXT(AL140,"h:mm AM/PM"),"")</f>
        <v/>
      </c>
      <c r="AP140">
        <f>ROUND(MAX(0,MIN(10,(AO140-20)/6)),1)</f>
        <v>0</v>
      </c>
      <c r="AQ140" t="str">
        <f ca="1">IF(AE140="⭐ PICK","PICK at "&amp;AN140,"")</f>
        <v/>
      </c>
    </row>
    <row r="141" spans="1:43" x14ac:dyDescent="0.3">
      <c r="A141" t="s">
        <v>240</v>
      </c>
      <c r="B141" t="s">
        <v>326</v>
      </c>
      <c r="C141" t="s">
        <v>327</v>
      </c>
      <c r="D141" t="s">
        <v>399</v>
      </c>
      <c r="E141" t="s">
        <v>57</v>
      </c>
      <c r="G141" t="s">
        <v>45</v>
      </c>
      <c r="H141" t="s">
        <v>45</v>
      </c>
      <c r="I141" t="s">
        <v>45</v>
      </c>
      <c r="S141">
        <v>60</v>
      </c>
      <c r="T141">
        <v>180</v>
      </c>
      <c r="V141" t="s">
        <v>57</v>
      </c>
      <c r="W141">
        <v>3</v>
      </c>
      <c r="X141" t="s">
        <v>44</v>
      </c>
      <c r="Y141" t="s">
        <v>46</v>
      </c>
      <c r="Z141" t="s">
        <v>389</v>
      </c>
      <c r="AA141" t="s">
        <v>389</v>
      </c>
      <c r="AB141">
        <v>180</v>
      </c>
      <c r="AD141">
        <v>4</v>
      </c>
      <c r="AE141" t="str">
        <f ca="1">IF(AND(CHOOSE(MONTH(TODAY()),G141,H141,I141,J141,K141,L141,M141,N141,O141,P141,Q141,R141)="✔",AD141&gt;=7,AM141="Yes",AO141&gt;=50,OR(X141="No",X141=""),OR(E141="No",V141="Yes")),"⭐ PICK","")</f>
        <v/>
      </c>
      <c r="AG141" t="s">
        <v>394</v>
      </c>
      <c r="AH141" t="s">
        <v>8</v>
      </c>
      <c r="AI141">
        <v>4.0194000000000001</v>
      </c>
      <c r="AJ141" s="3">
        <v>36.46</v>
      </c>
      <c r="AK141" t="s">
        <v>8</v>
      </c>
      <c r="AL141" s="5">
        <f ca="1">IFERROR(MOD((AI141-(MOD(18.697374558+24.065709824419*(TODAY()-DATE(2000,1,1)+0.5)+$AZ$1/15,24)))/1.00273790935,24)/24,"")</f>
        <v>0.93202931239296394</v>
      </c>
      <c r="AM141" t="str">
        <f>IF(AO141&gt;=20,"Yes","No")</f>
        <v>Yes</v>
      </c>
      <c r="AN141" s="7" t="str">
        <f ca="1">IF(AM141="Yes",TEXT(AL141,"h:mm AM/PM"),"")</f>
        <v>10:22 PM</v>
      </c>
      <c r="AO141" s="3">
        <v>45</v>
      </c>
      <c r="AP141">
        <f>ROUND(MAX(0,MIN(10,(AO141-20)/6)),1)</f>
        <v>4.2</v>
      </c>
      <c r="AQ141" t="str">
        <f ca="1">IF(AE141="⭐ PICK","PICK at "&amp;AN141,"")</f>
        <v/>
      </c>
    </row>
    <row r="142" spans="1:43" x14ac:dyDescent="0.3">
      <c r="A142" t="s">
        <v>287</v>
      </c>
      <c r="B142" t="s">
        <v>386</v>
      </c>
      <c r="C142" t="s">
        <v>390</v>
      </c>
      <c r="D142" t="s">
        <v>387</v>
      </c>
      <c r="E142" t="s">
        <v>57</v>
      </c>
      <c r="G142" t="s">
        <v>45</v>
      </c>
      <c r="H142" t="s">
        <v>45</v>
      </c>
      <c r="I142" t="s">
        <v>45</v>
      </c>
      <c r="S142">
        <v>7</v>
      </c>
      <c r="T142">
        <v>90</v>
      </c>
      <c r="V142" t="s">
        <v>57</v>
      </c>
      <c r="W142">
        <v>3</v>
      </c>
      <c r="X142" t="str">
        <f>IF(S142="", "", IF(S142&gt;78,"Yes","No"))</f>
        <v>No</v>
      </c>
      <c r="Y142" t="s">
        <v>391</v>
      </c>
      <c r="Z142" t="s">
        <v>388</v>
      </c>
      <c r="AA142" t="s">
        <v>389</v>
      </c>
      <c r="AB142">
        <v>90</v>
      </c>
      <c r="AD142">
        <v>4</v>
      </c>
      <c r="AE142" t="str">
        <f ca="1">IF(AND(CHOOSE(MONTH(TODAY()),G142,H142,I142,J142,K142,L142,M142,N142,O142,P142,Q142,R142)="✔",AD142&gt;=7,AM142="Yes",AO142&gt;=50,OR(X142="No",X142=""),OR(E142="No",V142="Yes")),"⭐ PICK","")</f>
        <v/>
      </c>
      <c r="AG142" t="s">
        <v>8</v>
      </c>
      <c r="AH142" t="s">
        <v>8</v>
      </c>
      <c r="AI142">
        <v>5.5167000000000002</v>
      </c>
      <c r="AJ142">
        <v>34.232999999999997</v>
      </c>
      <c r="AK142" s="3" t="s">
        <v>8</v>
      </c>
      <c r="AL142" s="5">
        <f ca="1">IFERROR(MOD((AI142-(MOD(18.697374558+24.065709824419*(TODAY()-DATE(2000,1,1)+0.5)+$AZ$1/15,24)))/1.00273790935,24)/24,"")</f>
        <v>0.99424646746236911</v>
      </c>
      <c r="AM142" t="str">
        <f>IF(AO142&gt;=20,"Yes","No")</f>
        <v>Yes</v>
      </c>
      <c r="AN142" s="7" t="str">
        <f ca="1">IF(AM142="Yes",TEXT(AL142,"h:mm AM/PM"),"")</f>
        <v>11:51 PM</v>
      </c>
      <c r="AO142" s="3">
        <v>55</v>
      </c>
      <c r="AP142">
        <f>ROUND(MAX(0,MIN(10,(AO142-20)/6)),1)</f>
        <v>5.8</v>
      </c>
      <c r="AQ142" t="str">
        <f ca="1">IF(AE142="⭐ PICK","PICK at "&amp;AN142,"")</f>
        <v/>
      </c>
    </row>
    <row r="143" spans="1:43" x14ac:dyDescent="0.3">
      <c r="A143" t="s">
        <v>240</v>
      </c>
      <c r="B143" t="s">
        <v>298</v>
      </c>
      <c r="C143" t="s">
        <v>299</v>
      </c>
      <c r="D143" t="s">
        <v>136</v>
      </c>
      <c r="E143" t="s">
        <v>57</v>
      </c>
      <c r="G143" t="s">
        <v>45</v>
      </c>
      <c r="H143" t="s">
        <v>45</v>
      </c>
      <c r="I143" t="s">
        <v>45</v>
      </c>
      <c r="R143" t="s">
        <v>45</v>
      </c>
      <c r="S143">
        <v>20</v>
      </c>
      <c r="X143" t="str">
        <f>IF(S143="", "", IF(S143&gt;78,"Yes","No"))</f>
        <v>No</v>
      </c>
      <c r="Y143" t="s">
        <v>197</v>
      </c>
      <c r="Z143" t="s">
        <v>48</v>
      </c>
      <c r="AA143" t="s">
        <v>117</v>
      </c>
      <c r="AB143">
        <f>IF(Y143="Emission Nebula",90,IF(Y143="Reflection Nebula",75,IF(Y143="Planetary Nebula",60,IF(Y143="Galaxy",90,IF(Y143="Globular Cluster",30,IF(Y143="Open Cluster",20,IF(Y143="Comet",20,IF(Y143="Planet",10,IF(Y143="Star",5,45)))))))))</f>
        <v>75</v>
      </c>
      <c r="AC143" t="s">
        <v>49</v>
      </c>
      <c r="AD143">
        <f>MAX(1,MIN(10,ROUND((IF(S143="",5,IF(S143&lt;3,2,IF(S143&lt;10,4,IF(S143&lt;=70,8,IF(S143&lt;=100,6,4))))))+IF(Y143="Emission Nebula",2,IF(Y143="Open Cluster",2,IF(Y143="Globular Cluster",2,IF(Y143="Reflection Nebula",1,IF(Y143="Planetary Nebula",1,IF(Y143="Comet",1,0))))))+IF(Z143="High (easy)",2,IF(Z143="Medium",1,IF(Z143="Low (hard)",-1,0)))+IF(AA143="High (OK with Moon)",2,IF(AA143="Medium",0,IF(AA143="Low (needs dark)",-2,0)))+IF(AC143="High (best &gt;50°)",1,IF(AC143="Medium",0,IF(AC143="Low (OK)",-1,0))),0)))</f>
        <v>9</v>
      </c>
      <c r="AE143" t="str">
        <f ca="1">IF(AND(CHOOSE(MONTH(TODAY()),G143,H143,I143,J143,K143,L143,M143,N143,O143,P143,Q143,R143)="✔",AD143&gt;=7,AM143="Yes",AO143&gt;=50,OR(X143="No",X143=""),OR(E143="No",V143="Yes")),"⭐ PICK","")</f>
        <v/>
      </c>
      <c r="AI143">
        <v>10.08666666666667</v>
      </c>
      <c r="AJ143">
        <v>-7.7166666666666668</v>
      </c>
      <c r="AL143" s="5">
        <f ca="1">IFERROR(MOD((AI143-(MOD(18.697374558+24.065709824419*(TODAY()-DATE(2000,1,1)+0.5)+$AZ$1/15,24)))/1.00273790935,24)/24,"")</f>
        <v>0.18414182895439626</v>
      </c>
      <c r="AM143" t="str">
        <f>IF(AO143&gt;=20,"Yes","No")</f>
        <v>No</v>
      </c>
      <c r="AN143" s="7" t="str">
        <f>IF(AM143="Yes",TEXT(AL143,"h:mm AM/PM"),"")</f>
        <v/>
      </c>
      <c r="AP143">
        <f>ROUND(MAX(0,MIN(10,(AO143-20)/6)),1)</f>
        <v>0</v>
      </c>
      <c r="AQ143" t="str">
        <f ca="1">IF(AE143="⭐ PICK","PICK at "&amp;AN143,"")</f>
        <v/>
      </c>
    </row>
    <row r="144" spans="1:43" x14ac:dyDescent="0.3">
      <c r="A144" t="s">
        <v>240</v>
      </c>
      <c r="B144" t="s">
        <v>306</v>
      </c>
      <c r="C144" t="s">
        <v>307</v>
      </c>
      <c r="D144" t="s">
        <v>136</v>
      </c>
      <c r="E144" t="s">
        <v>57</v>
      </c>
      <c r="G144" t="s">
        <v>45</v>
      </c>
      <c r="H144" t="s">
        <v>45</v>
      </c>
      <c r="I144" t="s">
        <v>45</v>
      </c>
      <c r="R144" t="s">
        <v>45</v>
      </c>
      <c r="S144">
        <v>14</v>
      </c>
      <c r="X144" t="str">
        <f>IF(S144="", "", IF(S144&gt;78,"Yes","No"))</f>
        <v>No</v>
      </c>
      <c r="Y144" t="s">
        <v>70</v>
      </c>
      <c r="Z144" t="s">
        <v>47</v>
      </c>
      <c r="AA144" t="s">
        <v>56</v>
      </c>
      <c r="AB144">
        <f>IF(Y144="Emission Nebula",90,IF(Y144="Reflection Nebula",75,IF(Y144="Planetary Nebula",60,IF(Y144="Galaxy",90,IF(Y144="Globular Cluster",30,IF(Y144="Open Cluster",20,IF(Y144="Comet",20,IF(Y144="Planet",10,IF(Y144="Star",5,45)))))))))</f>
        <v>20</v>
      </c>
      <c r="AC144" t="s">
        <v>49</v>
      </c>
      <c r="AD144">
        <f>MAX(1,MIN(10,ROUND((IF(S144="",5,IF(S144&lt;3,2,IF(S144&lt;10,4,IF(S144&lt;=70,8,IF(S144&lt;=100,6,4))))))+IF(Y144="Emission Nebula",2,IF(Y144="Open Cluster",2,IF(Y144="Globular Cluster",2,IF(Y144="Reflection Nebula",1,IF(Y144="Planetary Nebula",1,IF(Y144="Comet",1,0))))))+IF(Z144="High (easy)",2,IF(Z144="Medium",1,IF(Z144="Low (hard)",-1,0)))+IF(AA144="High (OK with Moon)",2,IF(AA144="Medium",0,IF(AA144="Low (needs dark)",-2,0)))+IF(AC144="High (best &gt;50°)",1,IF(AC144="Medium",0,IF(AC144="Low (OK)",-1,0))),0)))</f>
        <v>10</v>
      </c>
      <c r="AE144" t="str">
        <f ca="1">IF(AND(CHOOSE(MONTH(TODAY()),G144,H144,I144,J144,K144,L144,M144,N144,O144,P144,Q144,R144)="✔",AD144&gt;=7,AM144="Yes",AO144&gt;=50,OR(X144="No",X144=""),OR(E144="No",V144="Yes")),"⭐ PICK","")</f>
        <v/>
      </c>
      <c r="AI144">
        <v>10.41333333333333</v>
      </c>
      <c r="AJ144">
        <v>-18.633333333333329</v>
      </c>
      <c r="AL144" s="5">
        <f ca="1">IFERROR(MOD((AI144-(MOD(18.697374558+24.065709824419*(TODAY()-DATE(2000,1,1)+0.5)+$AZ$1/15,24)))/1.00273790935,24)/24,"")</f>
        <v>0.19771577582944155</v>
      </c>
      <c r="AM144" t="str">
        <f>IF(AO144&gt;=20,"Yes","No")</f>
        <v>No</v>
      </c>
      <c r="AN144" s="7" t="str">
        <f>IF(AM144="Yes",TEXT(AL144,"h:mm AM/PM"),"")</f>
        <v/>
      </c>
      <c r="AP144">
        <f>ROUND(MAX(0,MIN(10,(AO144-20)/6)),1)</f>
        <v>0</v>
      </c>
      <c r="AQ144" t="str">
        <f ca="1">IF(AE144="⭐ PICK","PICK at "&amp;AN144,"")</f>
        <v/>
      </c>
    </row>
    <row r="145" spans="1:43" x14ac:dyDescent="0.3">
      <c r="A145" t="s">
        <v>240</v>
      </c>
      <c r="B145" t="s">
        <v>308</v>
      </c>
      <c r="C145" t="s">
        <v>70</v>
      </c>
      <c r="D145" t="s">
        <v>136</v>
      </c>
      <c r="E145" t="s">
        <v>57</v>
      </c>
      <c r="G145" t="s">
        <v>45</v>
      </c>
      <c r="H145" t="s">
        <v>45</v>
      </c>
      <c r="I145" t="s">
        <v>45</v>
      </c>
      <c r="R145" t="s">
        <v>45</v>
      </c>
      <c r="S145">
        <v>28</v>
      </c>
      <c r="X145" t="str">
        <f>IF(S145="", "", IF(S145&gt;78,"Yes","No"))</f>
        <v>No</v>
      </c>
      <c r="Y145" t="s">
        <v>70</v>
      </c>
      <c r="Z145" t="s">
        <v>47</v>
      </c>
      <c r="AA145" t="s">
        <v>56</v>
      </c>
      <c r="AB145">
        <f>IF(Y145="Emission Nebula",90,IF(Y145="Reflection Nebula",75,IF(Y145="Planetary Nebula",60,IF(Y145="Galaxy",90,IF(Y145="Globular Cluster",30,IF(Y145="Open Cluster",20,IF(Y145="Comet",20,IF(Y145="Planet",10,IF(Y145="Star",5,45)))))))))</f>
        <v>20</v>
      </c>
      <c r="AC145" t="s">
        <v>49</v>
      </c>
      <c r="AD145">
        <f>MAX(1,MIN(10,ROUND((IF(S145="",5,IF(S145&lt;3,2,IF(S145&lt;10,4,IF(S145&lt;=70,8,IF(S145&lt;=100,6,4))))))+IF(Y145="Emission Nebula",2,IF(Y145="Open Cluster",2,IF(Y145="Globular Cluster",2,IF(Y145="Reflection Nebula",1,IF(Y145="Planetary Nebula",1,IF(Y145="Comet",1,0))))))+IF(Z145="High (easy)",2,IF(Z145="Medium",1,IF(Z145="Low (hard)",-1,0)))+IF(AA145="High (OK with Moon)",2,IF(AA145="Medium",0,IF(AA145="Low (needs dark)",-2,0)))+IF(AC145="High (best &gt;50°)",1,IF(AC145="Medium",0,IF(AC145="Low (OK)",-1,0))),0)))</f>
        <v>10</v>
      </c>
      <c r="AE145" t="str">
        <f ca="1">IF(AND(CHOOSE(MONTH(TODAY()),G145,H145,I145,J145,K145,L145,M145,N145,O145,P145,Q145,R145)="✔",AD145&gt;=7,AM145="Yes",AO145&gt;=50,OR(X145="No",X145=""),OR(E145="No",V145="Yes")),"⭐ PICK","")</f>
        <v/>
      </c>
      <c r="AI145">
        <v>11.338333333333329</v>
      </c>
      <c r="AJ145">
        <v>13.6</v>
      </c>
      <c r="AL145" s="5">
        <f ca="1">IFERROR(MOD((AI145-(MOD(18.697374558+24.065709824419*(TODAY()-DATE(2000,1,1)+0.5)+$AZ$1/15,24)))/1.00273790935,24)/24,"")</f>
        <v>0.23615220703173878</v>
      </c>
      <c r="AM145" t="str">
        <f>IF(AO145&gt;=20,"Yes","No")</f>
        <v>No</v>
      </c>
      <c r="AN145" s="7" t="str">
        <f>IF(AM145="Yes",TEXT(AL145,"h:mm AM/PM"),"")</f>
        <v/>
      </c>
      <c r="AP145">
        <f>ROUND(MAX(0,MIN(10,(AO145-20)/6)),1)</f>
        <v>0</v>
      </c>
      <c r="AQ145" t="str">
        <f ca="1">IF(AE145="⭐ PICK","PICK at "&amp;AN145,"")</f>
        <v/>
      </c>
    </row>
    <row r="146" spans="1:43" x14ac:dyDescent="0.3">
      <c r="A146" t="s">
        <v>240</v>
      </c>
      <c r="B146" t="s">
        <v>305</v>
      </c>
      <c r="C146" t="s">
        <v>197</v>
      </c>
      <c r="D146" t="s">
        <v>136</v>
      </c>
      <c r="E146" t="s">
        <v>57</v>
      </c>
      <c r="G146" t="s">
        <v>45</v>
      </c>
      <c r="H146" t="s">
        <v>45</v>
      </c>
      <c r="I146" t="s">
        <v>45</v>
      </c>
      <c r="R146" t="s">
        <v>45</v>
      </c>
      <c r="S146">
        <v>2</v>
      </c>
      <c r="X146" t="str">
        <f>IF(S146="", "", IF(S146&gt;78,"Yes","No"))</f>
        <v>No</v>
      </c>
      <c r="Y146" t="s">
        <v>197</v>
      </c>
      <c r="Z146" t="s">
        <v>48</v>
      </c>
      <c r="AA146" t="s">
        <v>117</v>
      </c>
      <c r="AB146">
        <f>IF(Y146="Emission Nebula",90,IF(Y146="Reflection Nebula",75,IF(Y146="Planetary Nebula",60,IF(Y146="Galaxy",90,IF(Y146="Globular Cluster",30,IF(Y146="Open Cluster",20,IF(Y146="Comet",20,IF(Y146="Planet",10,IF(Y146="Star",5,45)))))))))</f>
        <v>75</v>
      </c>
      <c r="AC146" t="s">
        <v>49</v>
      </c>
      <c r="AD146">
        <f>MAX(1,MIN(10,ROUND((IF(S146="",5,IF(S146&lt;3,2,IF(S146&lt;10,4,IF(S146&lt;=70,8,IF(S146&lt;=100,6,4))))))+IF(Y146="Emission Nebula",2,IF(Y146="Open Cluster",2,IF(Y146="Globular Cluster",2,IF(Y146="Reflection Nebula",1,IF(Y146="Planetary Nebula",1,IF(Y146="Comet",1,0))))))+IF(Z146="High (easy)",2,IF(Z146="Medium",1,IF(Z146="Low (hard)",-1,0)))+IF(AA146="High (OK with Moon)",2,IF(AA146="Medium",0,IF(AA146="Low (needs dark)",-2,0)))+IF(AC146="High (best &gt;50°)",1,IF(AC146="Medium",0,IF(AC146="Low (OK)",-1,0))),0)))</f>
        <v>3</v>
      </c>
      <c r="AE146" t="str">
        <f ca="1">IF(AND(CHOOSE(MONTH(TODAY()),G146,H146,I146,J146,K146,L146,M146,N146,O146,P146,Q146,R146)="✔",AD146&gt;=7,AM146="Yes",AO146&gt;=50,OR(X146="No",X146=""),OR(E146="No",V146="Yes")),"⭐ PICK","")</f>
        <v/>
      </c>
      <c r="AI146">
        <v>12.605</v>
      </c>
      <c r="AJ146">
        <v>25.983333333333331</v>
      </c>
      <c r="AL146" s="5">
        <f ca="1">IFERROR(MOD((AI146-(MOD(18.697374558+24.065709824419*(TODAY()-DATE(2000,1,1)+0.5)+$AZ$1/15,24)))/1.00273790935,24)/24,"")</f>
        <v>0.28878587858803789</v>
      </c>
      <c r="AM146" t="str">
        <f>IF(AO146&gt;=20,"Yes","No")</f>
        <v>No</v>
      </c>
      <c r="AN146" s="7" t="str">
        <f>IF(AM146="Yes",TEXT(AL146,"h:mm AM/PM"),"")</f>
        <v/>
      </c>
      <c r="AP146">
        <f>ROUND(MAX(0,MIN(10,(AO146-20)/6)),1)</f>
        <v>0</v>
      </c>
      <c r="AQ146" t="str">
        <f ca="1">IF(AE146="⭐ PICK","PICK at "&amp;AN146,"")</f>
        <v/>
      </c>
    </row>
    <row r="147" spans="1:43" x14ac:dyDescent="0.3">
      <c r="A147" t="s">
        <v>240</v>
      </c>
      <c r="B147" t="s">
        <v>296</v>
      </c>
      <c r="C147" t="s">
        <v>297</v>
      </c>
      <c r="D147" t="s">
        <v>136</v>
      </c>
      <c r="E147" t="s">
        <v>57</v>
      </c>
      <c r="G147" t="s">
        <v>45</v>
      </c>
      <c r="H147" t="s">
        <v>45</v>
      </c>
      <c r="I147" t="s">
        <v>45</v>
      </c>
      <c r="R147" t="s">
        <v>45</v>
      </c>
      <c r="S147">
        <v>30</v>
      </c>
      <c r="X147" t="str">
        <f>IF(S147="", "", IF(S147&gt;78,"Yes","No"))</f>
        <v>No</v>
      </c>
      <c r="Y147" t="s">
        <v>46</v>
      </c>
      <c r="Z147" t="s">
        <v>47</v>
      </c>
      <c r="AA147" t="s">
        <v>48</v>
      </c>
      <c r="AB147">
        <f>IF(Y147="Emission Nebula",90,IF(Y147="Reflection Nebula",75,IF(Y147="Planetary Nebula",60,IF(Y147="Galaxy",90,IF(Y147="Globular Cluster",30,IF(Y147="Open Cluster",20,IF(Y147="Comet",20,IF(Y147="Planet",10,IF(Y147="Star",5,45)))))))))</f>
        <v>90</v>
      </c>
      <c r="AC147" t="s">
        <v>49</v>
      </c>
      <c r="AD147">
        <f>MAX(1,MIN(10,ROUND((IF(S147="",5,IF(S147&lt;3,2,IF(S147&lt;10,4,IF(S147&lt;=70,8,IF(S147&lt;=100,6,4))))))+IF(Y147="Emission Nebula",2,IF(Y147="Open Cluster",2,IF(Y147="Globular Cluster",2,IF(Y147="Reflection Nebula",1,IF(Y147="Planetary Nebula",1,IF(Y147="Comet",1,0))))))+IF(Z147="High (easy)",2,IF(Z147="Medium",1,IF(Z147="Low (hard)",-1,0)))+IF(AA147="High (OK with Moon)",2,IF(AA147="Medium",0,IF(AA147="Low (needs dark)",-2,0)))+IF(AC147="High (best &gt;50°)",1,IF(AC147="Medium",0,IF(AC147="Low (OK)",-1,0))),0)))</f>
        <v>10</v>
      </c>
      <c r="AE147" t="str">
        <f ca="1">IF(AND(CHOOSE(MONTH(TODAY()),G147,H147,I147,J147,K147,L147,M147,N147,O147,P147,Q147,R147)="✔",AD147&gt;=7,AM147="Yes",AO147&gt;=50,OR(X147="No",X147=""),OR(E147="No",V147="Yes")),"⭐ PICK","")</f>
        <v/>
      </c>
      <c r="AI147">
        <v>12.70166666666667</v>
      </c>
      <c r="AJ147">
        <v>32.533333333333331</v>
      </c>
      <c r="AL147" s="5">
        <f ca="1">IFERROR(MOD((AI147-(MOD(18.697374558+24.065709824419*(TODAY()-DATE(2000,1,1)+0.5)+$AZ$1/15,24)))/1.00273790935,24)/24,"")</f>
        <v>0.29280265878575557</v>
      </c>
      <c r="AM147" t="str">
        <f>IF(AO147&gt;=20,"Yes","No")</f>
        <v>No</v>
      </c>
      <c r="AN147" s="7" t="str">
        <f>IF(AM147="Yes",TEXT(AL147,"h:mm AM/PM"),"")</f>
        <v/>
      </c>
      <c r="AP147">
        <f>ROUND(MAX(0,MIN(10,(AO147-20)/6)),1)</f>
        <v>0</v>
      </c>
      <c r="AQ147" t="str">
        <f ca="1">IF(AE147="⭐ PICK","PICK at "&amp;AN147,"")</f>
        <v/>
      </c>
    </row>
    <row r="148" spans="1:43" x14ac:dyDescent="0.3">
      <c r="A148" t="s">
        <v>240</v>
      </c>
      <c r="B148" t="s">
        <v>302</v>
      </c>
      <c r="C148" t="s">
        <v>303</v>
      </c>
      <c r="D148" t="s">
        <v>136</v>
      </c>
      <c r="E148" t="s">
        <v>57</v>
      </c>
      <c r="G148" t="s">
        <v>45</v>
      </c>
      <c r="H148" t="s">
        <v>45</v>
      </c>
      <c r="I148" t="s">
        <v>45</v>
      </c>
      <c r="R148" t="s">
        <v>45</v>
      </c>
      <c r="S148">
        <v>8</v>
      </c>
      <c r="X148" t="str">
        <f>IF(S148="", "", IF(S148&gt;78,"Yes","No"))</f>
        <v>No</v>
      </c>
      <c r="Y148" t="s">
        <v>197</v>
      </c>
      <c r="Z148" t="s">
        <v>48</v>
      </c>
      <c r="AA148" t="s">
        <v>117</v>
      </c>
      <c r="AB148">
        <f>IF(Y148="Emission Nebula",90,IF(Y148="Reflection Nebula",75,IF(Y148="Planetary Nebula",60,IF(Y148="Galaxy",90,IF(Y148="Globular Cluster",30,IF(Y148="Open Cluster",20,IF(Y148="Comet",20,IF(Y148="Planet",10,IF(Y148="Star",5,45)))))))))</f>
        <v>75</v>
      </c>
      <c r="AC148" t="s">
        <v>49</v>
      </c>
      <c r="AD148">
        <f>MAX(1,MIN(10,ROUND((IF(S148="",5,IF(S148&lt;3,2,IF(S148&lt;10,4,IF(S148&lt;=70,8,IF(S148&lt;=100,6,4))))))+IF(Y148="Emission Nebula",2,IF(Y148="Open Cluster",2,IF(Y148="Globular Cluster",2,IF(Y148="Reflection Nebula",1,IF(Y148="Planetary Nebula",1,IF(Y148="Comet",1,0))))))+IF(Z148="High (easy)",2,IF(Z148="Medium",1,IF(Z148="Low (hard)",-1,0)))+IF(AA148="High (OK with Moon)",2,IF(AA148="Medium",0,IF(AA148="Low (needs dark)",-2,0)))+IF(AC148="High (best &gt;50°)",1,IF(AC148="Medium",0,IF(AC148="Low (OK)",-1,0))),0)))</f>
        <v>5</v>
      </c>
      <c r="AE148" t="str">
        <f ca="1">IF(AND(CHOOSE(MONTH(TODAY()),G148,H148,I148,J148,K148,L148,M148,N148,O148,P148,Q148,R148)="✔",AD148&gt;=7,AM148="Yes",AO148&gt;=50,OR(X148="No",X148=""),OR(E148="No",V148="Yes")),"⭐ PICK","")</f>
        <v/>
      </c>
      <c r="AI148">
        <v>12.733333333333331</v>
      </c>
      <c r="AJ148">
        <v>32.166666666666657</v>
      </c>
      <c r="AL148" s="5">
        <f ca="1">IFERROR(MOD((AI148-(MOD(18.697374558+24.065709824419*(TODAY()-DATE(2000,1,1)+0.5)+$AZ$1/15,24)))/1.00273790935,24)/24,"")</f>
        <v>0.29411850057466282</v>
      </c>
      <c r="AM148" t="str">
        <f>IF(AO148&gt;=20,"Yes","No")</f>
        <v>No</v>
      </c>
      <c r="AN148" s="7" t="str">
        <f>IF(AM148="Yes",TEXT(AL148,"h:mm AM/PM"),"")</f>
        <v/>
      </c>
      <c r="AP148">
        <f>ROUND(MAX(0,MIN(10,(AO148-20)/6)),1)</f>
        <v>0</v>
      </c>
      <c r="AQ148" t="str">
        <f ca="1">IF(AE148="⭐ PICK","PICK at "&amp;AN148,"")</f>
        <v/>
      </c>
    </row>
    <row r="149" spans="1:43" x14ac:dyDescent="0.3">
      <c r="A149" t="s">
        <v>240</v>
      </c>
      <c r="B149" t="s">
        <v>304</v>
      </c>
      <c r="C149" t="s">
        <v>197</v>
      </c>
      <c r="D149" t="s">
        <v>136</v>
      </c>
      <c r="E149" t="s">
        <v>57</v>
      </c>
      <c r="G149" t="s">
        <v>45</v>
      </c>
      <c r="H149" t="s">
        <v>45</v>
      </c>
      <c r="I149" t="s">
        <v>45</v>
      </c>
      <c r="R149" t="s">
        <v>45</v>
      </c>
      <c r="S149">
        <v>7</v>
      </c>
      <c r="X149" t="str">
        <f>IF(S149="", "", IF(S149&gt;78,"Yes","No"))</f>
        <v>No</v>
      </c>
      <c r="Y149" t="s">
        <v>197</v>
      </c>
      <c r="Z149" t="s">
        <v>48</v>
      </c>
      <c r="AA149" t="s">
        <v>117</v>
      </c>
      <c r="AB149">
        <f>IF(Y149="Emission Nebula",90,IF(Y149="Reflection Nebula",75,IF(Y149="Planetary Nebula",60,IF(Y149="Galaxy",90,IF(Y149="Globular Cluster",30,IF(Y149="Open Cluster",20,IF(Y149="Comet",20,IF(Y149="Planet",10,IF(Y149="Star",5,45)))))))))</f>
        <v>75</v>
      </c>
      <c r="AC149" t="s">
        <v>49</v>
      </c>
      <c r="AD149">
        <f>MAX(1,MIN(10,ROUND((IF(S149="",5,IF(S149&lt;3,2,IF(S149&lt;10,4,IF(S149&lt;=70,8,IF(S149&lt;=100,6,4))))))+IF(Y149="Emission Nebula",2,IF(Y149="Open Cluster",2,IF(Y149="Globular Cluster",2,IF(Y149="Reflection Nebula",1,IF(Y149="Planetary Nebula",1,IF(Y149="Comet",1,0))))))+IF(Z149="High (easy)",2,IF(Z149="Medium",1,IF(Z149="Low (hard)",-1,0)))+IF(AA149="High (OK with Moon)",2,IF(AA149="Medium",0,IF(AA149="Low (needs dark)",-2,0)))+IF(AC149="High (best &gt;50°)",1,IF(AC149="Medium",0,IF(AC149="Low (OK)",-1,0))),0)))</f>
        <v>5</v>
      </c>
      <c r="AE149" t="str">
        <f ca="1">IF(AND(CHOOSE(MONTH(TODAY()),G149,H149,I149,J149,K149,L149,M149,N149,O149,P149,Q149,R149)="✔",AD149&gt;=7,AM149="Yes",AO149&gt;=50,OR(X149="No",X149=""),OR(E149="No",V149="Yes")),"⭐ PICK","")</f>
        <v/>
      </c>
      <c r="AI149">
        <v>12.848333333333329</v>
      </c>
      <c r="AJ149">
        <v>41.116666666666667</v>
      </c>
      <c r="AL149" s="5">
        <f ca="1">IFERROR(MOD((AI149-(MOD(18.697374558+24.065709824419*(TODAY()-DATE(2000,1,1)+0.5)+$AZ$1/15,24)))/1.00273790935,24)/24,"")</f>
        <v>0.29889708391332676</v>
      </c>
      <c r="AM149" t="str">
        <f>IF(AO149&gt;=20,"Yes","No")</f>
        <v>No</v>
      </c>
      <c r="AN149" s="7" t="str">
        <f>IF(AM149="Yes",TEXT(AL149,"h:mm AM/PM"),"")</f>
        <v/>
      </c>
      <c r="AP149">
        <f>ROUND(MAX(0,MIN(10,(AO149-20)/6)),1)</f>
        <v>0</v>
      </c>
      <c r="AQ149" t="str">
        <f ca="1">IF(AE149="⭐ PICK","PICK at "&amp;AN149,"")</f>
        <v/>
      </c>
    </row>
    <row r="150" spans="1:43" x14ac:dyDescent="0.3">
      <c r="A150" t="s">
        <v>240</v>
      </c>
      <c r="B150" t="s">
        <v>313</v>
      </c>
      <c r="C150" t="s">
        <v>314</v>
      </c>
      <c r="D150" t="s">
        <v>136</v>
      </c>
      <c r="E150" t="s">
        <v>57</v>
      </c>
      <c r="G150" t="s">
        <v>45</v>
      </c>
      <c r="H150" t="s">
        <v>45</v>
      </c>
      <c r="I150" t="s">
        <v>45</v>
      </c>
      <c r="R150" t="s">
        <v>45</v>
      </c>
      <c r="S150">
        <v>60</v>
      </c>
      <c r="X150" t="str">
        <f>IF(S150="", "", IF(S150&gt;78,"Yes","No"))</f>
        <v>No</v>
      </c>
      <c r="Y150" t="s">
        <v>46</v>
      </c>
      <c r="Z150" t="s">
        <v>48</v>
      </c>
      <c r="AA150" t="s">
        <v>117</v>
      </c>
      <c r="AB150">
        <f>IF(Y150="Emission Nebula",90,IF(Y150="Reflection Nebula",75,IF(Y150="Planetary Nebula",60,IF(Y150="Galaxy",90,IF(Y150="Globular Cluster",30,IF(Y150="Open Cluster",20,IF(Y150="Comet",20,IF(Y150="Planet",10,IF(Y150="Star",5,45)))))))))</f>
        <v>90</v>
      </c>
      <c r="AC150" t="s">
        <v>49</v>
      </c>
      <c r="AD150">
        <f>MAX(1,MIN(10,ROUND((IF(S150="",5,IF(S150&lt;3,2,IF(S150&lt;10,4,IF(S150&lt;=70,8,IF(S150&lt;=100,6,4))))))+IF(Y150="Emission Nebula",2,IF(Y150="Open Cluster",2,IF(Y150="Globular Cluster",2,IF(Y150="Reflection Nebula",1,IF(Y150="Planetary Nebula",1,IF(Y150="Comet",1,0))))))+IF(Z150="High (easy)",2,IF(Z150="Medium",1,IF(Z150="Low (hard)",-1,0)))+IF(AA150="High (OK with Moon)",2,IF(AA150="Medium",0,IF(AA150="Low (needs dark)",-2,0)))+IF(AC150="High (best &gt;50°)",1,IF(AC150="Medium",0,IF(AC150="Low (OK)",-1,0))),0)))</f>
        <v>10</v>
      </c>
      <c r="AE150" t="str">
        <f ca="1">IF(AND(CHOOSE(MONTH(TODAY()),G150,H150,I150,J150,K150,L150,M150,N150,O150,P150,Q150,R150)="✔",AD150&gt;=7,AM150="Yes",AO150&gt;=50,OR(X150="No",X150=""),OR(E150="No",V150="Yes")),"⭐ PICK","")</f>
        <v/>
      </c>
      <c r="AI150">
        <v>16.741666666666671</v>
      </c>
      <c r="AJ150">
        <v>23.81666666666667</v>
      </c>
      <c r="AL150" s="5">
        <f ca="1">IFERROR(MOD((AI150-(MOD(18.697374558+24.065709824419*(TODAY()-DATE(2000,1,1)+0.5)+$AZ$1/15,24)))/1.00273790935,24)/24,"")</f>
        <v>0.46067636911795123</v>
      </c>
      <c r="AM150" t="str">
        <f>IF(AO150&gt;=20,"Yes","No")</f>
        <v>No</v>
      </c>
      <c r="AN150" s="7" t="str">
        <f>IF(AM150="Yes",TEXT(AL150,"h:mm AM/PM"),"")</f>
        <v/>
      </c>
      <c r="AP150">
        <f>ROUND(MAX(0,MIN(10,(AO150-20)/6)),1)</f>
        <v>0</v>
      </c>
      <c r="AQ150" t="str">
        <f ca="1">IF(AE150="⭐ PICK","PICK at "&amp;AN150,"")</f>
        <v/>
      </c>
    </row>
    <row r="151" spans="1:43" x14ac:dyDescent="0.3">
      <c r="A151" t="s">
        <v>240</v>
      </c>
      <c r="B151" t="s">
        <v>401</v>
      </c>
      <c r="C151" t="s">
        <v>402</v>
      </c>
      <c r="D151" t="s">
        <v>403</v>
      </c>
      <c r="E151" t="s">
        <v>57</v>
      </c>
      <c r="G151" t="s">
        <v>45</v>
      </c>
      <c r="H151" t="s">
        <v>45</v>
      </c>
      <c r="AE151" t="str">
        <f ca="1">IF(AND(CHOOSE(MONTH(TODAY()),G151,H151,I151,J151,K151,L151,M151,N151,O151,P151,Q151,R151)="✔",AD151&gt;=7,AM151="Yes",AO151&gt;=50,OR(X151="No",X151=""),OR(E151="No",V151="Yes")),"⭐ PICK","")</f>
        <v/>
      </c>
      <c r="AL151" s="5">
        <f ca="1">IFERROR(MOD((AI151-(MOD(18.697374558+24.065709824419*(TODAY()-DATE(2000,1,1)+0.5)+$AZ$1/15,24)))/1.00273790935,24)/24,"")</f>
        <v>0.76501159177186817</v>
      </c>
      <c r="AM151" t="str">
        <f>IF(AO151&gt;=20,"Yes","No")</f>
        <v>No</v>
      </c>
      <c r="AN151" s="7" t="str">
        <f>IF(AM151="Yes",TEXT(AL151,"h:mm AM/PM"),"")</f>
        <v/>
      </c>
      <c r="AP151">
        <f>ROUND(MAX(0,MIN(10,(AO151-20)/6)),1)</f>
        <v>0</v>
      </c>
      <c r="AQ151" t="str">
        <f ca="1">IF(AE151="⭐ PICK","PICK at "&amp;AN151,"")</f>
        <v/>
      </c>
    </row>
    <row r="152" spans="1:43" x14ac:dyDescent="0.3">
      <c r="A152" t="s">
        <v>240</v>
      </c>
      <c r="B152" t="s">
        <v>251</v>
      </c>
      <c r="C152" t="s">
        <v>252</v>
      </c>
      <c r="D152" t="s">
        <v>43</v>
      </c>
      <c r="E152" t="s">
        <v>57</v>
      </c>
      <c r="G152" t="s">
        <v>45</v>
      </c>
      <c r="H152" t="s">
        <v>45</v>
      </c>
      <c r="I152" t="s">
        <v>45</v>
      </c>
      <c r="S152">
        <v>0.8</v>
      </c>
      <c r="X152" t="str">
        <f>IF(S152="", "", IF(S152&gt;78,"Yes","No"))</f>
        <v>No</v>
      </c>
      <c r="Y152" t="s">
        <v>167</v>
      </c>
      <c r="AB152">
        <f>IF(Y152="Emission Nebula",90,IF(Y152="Reflection Nebula",75,IF(Y152="Planetary Nebula",60,IF(Y152="Galaxy",90,IF(Y152="Globular Cluster",30,IF(Y152="Open Cluster",20,IF(Y152="Comet",20,IF(Y152="Planet",10,IF(Y152="Star",5,45)))))))))</f>
        <v>60</v>
      </c>
      <c r="AD152">
        <f>MAX(1,MIN(10,ROUND((IF(S152="",5,IF(S152&lt;3,2,IF(S152&lt;10,4,IF(S152&lt;=70,8,IF(S152&lt;=100,6,4))))))+IF(Y152="Emission Nebula",2,IF(Y152="Open Cluster",2,IF(Y152="Globular Cluster",2,IF(Y152="Reflection Nebula",1,IF(Y152="Planetary Nebula",1,IF(Y152="Comet",1,0))))))+IF(Z152="High (easy)",2,IF(Z152="Medium",1,IF(Z152="Low (hard)",-1,0)))+IF(AA152="High (OK with Moon)",2,IF(AA152="Medium",0,IF(AA152="Low (needs dark)",-2,0)))+IF(AC152="High (best &gt;50°)",1,IF(AC152="Medium",0,IF(AC152="Low (OK)",-1,0))),0)))</f>
        <v>3</v>
      </c>
      <c r="AE152" t="str">
        <f ca="1">IF(AND(CHOOSE(MONTH(TODAY()),G152,H152,I152,J152,K152,L152,M152,N152,O152,P152,Q152,R152)="✔",AD152&gt;=7,AM152="Yes",AO152&gt;=50,OR(X152="No",X152=""),OR(E152="No",V152="Yes")),"⭐ PICK","")</f>
        <v/>
      </c>
      <c r="AI152">
        <v>17.97666666666667</v>
      </c>
      <c r="AJ152">
        <v>66.63333333333334</v>
      </c>
      <c r="AL152" s="5">
        <f ca="1">IFERROR(MOD((AI152-(MOD(18.697374558+24.065709824419*(TODAY()-DATE(2000,1,1)+0.5)+$AZ$1/15,24)))/1.00273790935,24)/24,"")</f>
        <v>0.5119941988853427</v>
      </c>
      <c r="AM152" t="str">
        <f>IF(AO152&gt;=20,"Yes","No")</f>
        <v>No</v>
      </c>
      <c r="AN152" s="7" t="str">
        <f>IF(AM152="Yes",TEXT(AL152,"h:mm AM/PM"),"")</f>
        <v/>
      </c>
      <c r="AP152">
        <f>ROUND(MAX(0,MIN(10,(AO152-20)/6)),1)</f>
        <v>0</v>
      </c>
      <c r="AQ152" t="str">
        <f ca="1">IF(AE152="⭐ PICK","PICK at "&amp;AN152,"")</f>
        <v/>
      </c>
    </row>
    <row r="153" spans="1:43" hidden="1" x14ac:dyDescent="0.3">
      <c r="A153" t="s">
        <v>240</v>
      </c>
      <c r="B153" t="s">
        <v>241</v>
      </c>
      <c r="C153" t="s">
        <v>242</v>
      </c>
      <c r="D153" t="s">
        <v>243</v>
      </c>
      <c r="E153" t="s">
        <v>44</v>
      </c>
      <c r="G153" t="s">
        <v>45</v>
      </c>
      <c r="P153" t="s">
        <v>45</v>
      </c>
      <c r="Q153" t="s">
        <v>45</v>
      </c>
      <c r="R153" t="s">
        <v>45</v>
      </c>
      <c r="S153">
        <v>30</v>
      </c>
      <c r="T153">
        <v>5</v>
      </c>
      <c r="V153" t="s">
        <v>383</v>
      </c>
      <c r="X153" t="str">
        <f>IF(S153="", "", IF(S153&gt;78,"Yes","No"))</f>
        <v>No</v>
      </c>
      <c r="Y153" t="s">
        <v>70</v>
      </c>
      <c r="AB153">
        <f>IF(Y153="Emission Nebula",90,IF(Y153="Reflection Nebula",75,IF(Y153="Planetary Nebula",60,IF(Y153="Galaxy",90,IF(Y153="Globular Cluster",30,IF(Y153="Open Cluster",20,IF(Y153="Comet",20,IF(Y153="Planet",10,IF(Y153="Star",5,45)))))))))</f>
        <v>20</v>
      </c>
      <c r="AD153">
        <f>MAX(1,MIN(10,ROUND((IF(S153="",5,IF(S153&lt;3,2,IF(S153&lt;10,4,IF(S153&lt;=70,8,IF(S153&lt;=100,6,4))))))+IF(Y153="Emission Nebula",2,IF(Y153="Open Cluster",2,IF(Y153="Globular Cluster",2,IF(Y153="Reflection Nebula",1,IF(Y153="Planetary Nebula",1,IF(Y153="Comet",1,0))))))+IF(Z153="High (easy)",2,IF(Z153="Medium",1,IF(Z153="Low (hard)",-1,0)))+IF(AA153="High (OK with Moon)",2,IF(AA153="Medium",0,IF(AA153="Low (needs dark)",-2,0)))+IF(AC153="High (best &gt;50°)",1,IF(AC153="Medium",0,IF(AC153="Low (OK)",-1,0))),0)))</f>
        <v>10</v>
      </c>
      <c r="AE153" t="str">
        <f ca="1">IF(AND(CHOOSE(MONTH(TODAY()),G153,H153,I153,J153,K153,L153,M153,N153,O153,P153,Q153,R153)="✔",AD153&gt;=7,OR(V153&lt;&gt;"No",V153=""),OR(X153="No",X153="")),"⭐ PICK","")</f>
        <v/>
      </c>
      <c r="AI153">
        <v>5.27</v>
      </c>
      <c r="AJ153">
        <v>34.33</v>
      </c>
      <c r="AK153" t="s">
        <v>6</v>
      </c>
      <c r="AL153" t="s">
        <v>161</v>
      </c>
      <c r="AM153" t="s">
        <v>44</v>
      </c>
      <c r="AN153" t="s">
        <v>223</v>
      </c>
      <c r="AO153">
        <v>88.7</v>
      </c>
    </row>
    <row r="154" spans="1:43" x14ac:dyDescent="0.3">
      <c r="A154" t="s">
        <v>240</v>
      </c>
      <c r="B154" t="s">
        <v>253</v>
      </c>
      <c r="C154" t="s">
        <v>254</v>
      </c>
      <c r="D154" t="s">
        <v>255</v>
      </c>
      <c r="E154" t="s">
        <v>57</v>
      </c>
      <c r="G154" t="s">
        <v>45</v>
      </c>
      <c r="H154" t="s">
        <v>45</v>
      </c>
      <c r="I154" t="s">
        <v>45</v>
      </c>
      <c r="J154" t="s">
        <v>45</v>
      </c>
      <c r="S154">
        <v>4</v>
      </c>
      <c r="X154" t="str">
        <f>IF(S154="", "", IF(S154&gt;78,"Yes","No"))</f>
        <v>No</v>
      </c>
      <c r="Y154" t="s">
        <v>54</v>
      </c>
      <c r="AB154">
        <f>IF(Y154="Emission Nebula",90,IF(Y154="Reflection Nebula",75,IF(Y154="Planetary Nebula",60,IF(Y154="Galaxy",90,IF(Y154="Globular Cluster",30,IF(Y154="Open Cluster",20,IF(Y154="Comet",20,IF(Y154="Planet",10,IF(Y154="Star",5,45)))))))))</f>
        <v>30</v>
      </c>
      <c r="AD154">
        <f>MAX(1,MIN(10,ROUND((IF(S154="",5,IF(S154&lt;3,2,IF(S154&lt;10,4,IF(S154&lt;=70,8,IF(S154&lt;=100,6,4))))))+IF(Y154="Emission Nebula",2,IF(Y154="Open Cluster",2,IF(Y154="Globular Cluster",2,IF(Y154="Reflection Nebula",1,IF(Y154="Planetary Nebula",1,IF(Y154="Comet",1,0))))))+IF(Z154="High (easy)",2,IF(Z154="Medium",1,IF(Z154="Low (hard)",-1,0)))+IF(AA154="High (OK with Moon)",2,IF(AA154="Medium",0,IF(AA154="Low (needs dark)",-2,0)))+IF(AC154="High (best &gt;50°)",1,IF(AC154="Medium",0,IF(AC154="Low (OK)",-1,0))),0)))</f>
        <v>6</v>
      </c>
      <c r="AE154" t="str">
        <f ca="1">IF(AND(CHOOSE(MONTH(TODAY()),G154,H154,I154,J154,K154,L154,M154,N154,O154,P154,Q154,R154)="✔",AD154&gt;=7,AM154="Yes",AO154&gt;=50,OR(X154="No",X154=""),OR(E154="No",V154="Yes")),"⭐ PICK","")</f>
        <v/>
      </c>
      <c r="AI154">
        <v>20.76166666666667</v>
      </c>
      <c r="AJ154">
        <v>30.716666666666669</v>
      </c>
      <c r="AL154" s="5">
        <f ca="1">IFERROR(MOD((AI154-(MOD(18.697374558+24.065709824419*(TODAY()-DATE(2000,1,1)+0.5)+$AZ$1/15,24)))/1.00273790935,24)/24,"")</f>
        <v>0.62771902147820524</v>
      </c>
      <c r="AM154" t="str">
        <f>IF(AO154&gt;=20,"Yes","No")</f>
        <v>No</v>
      </c>
      <c r="AN154" s="7" t="str">
        <f>IF(AM154="Yes",TEXT(AL154,"h:mm AM/PM"),"")</f>
        <v/>
      </c>
      <c r="AP154">
        <f>ROUND(MAX(0,MIN(10,(AO154-20)/6)),1)</f>
        <v>0</v>
      </c>
      <c r="AQ154" t="str">
        <f ca="1">IF(AE154="⭐ PICK","PICK at "&amp;AN154,"")</f>
        <v/>
      </c>
    </row>
    <row r="155" spans="1:43" hidden="1" x14ac:dyDescent="0.3">
      <c r="A155" t="s">
        <v>287</v>
      </c>
      <c r="B155" t="s">
        <v>385</v>
      </c>
      <c r="C155" t="s">
        <v>398</v>
      </c>
      <c r="D155" t="s">
        <v>387</v>
      </c>
      <c r="E155" t="s">
        <v>44</v>
      </c>
      <c r="G155" t="s">
        <v>45</v>
      </c>
      <c r="H155" t="s">
        <v>45</v>
      </c>
      <c r="I155" t="s">
        <v>45</v>
      </c>
      <c r="S155">
        <v>13</v>
      </c>
      <c r="T155">
        <v>120</v>
      </c>
      <c r="V155" t="s">
        <v>57</v>
      </c>
      <c r="W155">
        <v>4</v>
      </c>
      <c r="X155" t="s">
        <v>57</v>
      </c>
      <c r="Y155" t="s">
        <v>46</v>
      </c>
      <c r="Z155" t="s">
        <v>389</v>
      </c>
      <c r="AA155" t="s">
        <v>389</v>
      </c>
      <c r="AB155">
        <v>120</v>
      </c>
      <c r="AD155">
        <v>5</v>
      </c>
      <c r="AG155" t="s">
        <v>8</v>
      </c>
      <c r="AH155" t="s">
        <v>8</v>
      </c>
      <c r="AI155">
        <v>5.4683000000000002</v>
      </c>
      <c r="AJ155">
        <v>34.423999999999999</v>
      </c>
      <c r="AK155" t="s">
        <v>8</v>
      </c>
      <c r="AL155" s="3">
        <v>0.89583333333333337</v>
      </c>
      <c r="AM155" s="3" t="s">
        <v>44</v>
      </c>
      <c r="AN155" s="3">
        <v>0.9375</v>
      </c>
      <c r="AO155" s="3">
        <v>60</v>
      </c>
      <c r="AQ155" s="3"/>
    </row>
    <row r="156" spans="1:43" x14ac:dyDescent="0.3">
      <c r="A156" t="s">
        <v>240</v>
      </c>
      <c r="B156" t="s">
        <v>246</v>
      </c>
      <c r="C156" t="s">
        <v>247</v>
      </c>
      <c r="D156" t="s">
        <v>248</v>
      </c>
      <c r="E156" t="s">
        <v>57</v>
      </c>
      <c r="O156" t="s">
        <v>45</v>
      </c>
      <c r="P156" t="s">
        <v>45</v>
      </c>
      <c r="Q156" t="s">
        <v>45</v>
      </c>
      <c r="R156" t="s">
        <v>45</v>
      </c>
      <c r="S156">
        <v>28</v>
      </c>
      <c r="X156" t="str">
        <f>IF(S156="", "", IF(S156&gt;78,"Yes","No"))</f>
        <v>No</v>
      </c>
      <c r="Y156" t="s">
        <v>116</v>
      </c>
      <c r="AB156">
        <f>IF(Y156="Emission Nebula",90,IF(Y156="Reflection Nebula",75,IF(Y156="Planetary Nebula",60,IF(Y156="Galaxy",90,IF(Y156="Globular Cluster",30,IF(Y156="Open Cluster",20,IF(Y156="Comet",20,IF(Y156="Planet",10,IF(Y156="Star",5,45)))))))))</f>
        <v>90</v>
      </c>
      <c r="AD156">
        <f>MAX(1,MIN(10,ROUND((IF(S156="",5,IF(S156&lt;3,2,IF(S156&lt;10,4,IF(S156&lt;=70,8,IF(S156&lt;=100,6,4))))))+IF(Y156="Emission Nebula",2,IF(Y156="Open Cluster",2,IF(Y156="Globular Cluster",2,IF(Y156="Reflection Nebula",1,IF(Y156="Planetary Nebula",1,IF(Y156="Comet",1,0))))))+IF(Z156="High (easy)",2,IF(Z156="Medium",1,IF(Z156="Low (hard)",-1,0)))+IF(AA156="High (OK with Moon)",2,IF(AA156="Medium",0,IF(AA156="Low (needs dark)",-2,0)))+IF(AC156="High (best &gt;50°)",1,IF(AC156="Medium",0,IF(AC156="Low (OK)",-1,0))),0)))</f>
        <v>8</v>
      </c>
      <c r="AE156" t="str">
        <f ca="1">IF(AND(CHOOSE(MONTH(TODAY()),G156,H156,I156,J156,K156,L156,M156,N156,O156,P156,Q156,R156)="✔",AD156&gt;=7,AM156="Yes",AO156&gt;=50,OR(X156="No",X156=""),OR(E156="No",V156="Yes")),"⭐ PICK","")</f>
        <v/>
      </c>
      <c r="AI156">
        <v>21.688333333333329</v>
      </c>
      <c r="AJ156">
        <v>66.099999999999994</v>
      </c>
      <c r="AL156" s="5">
        <f ca="1">IFERROR(MOD((AI156-(MOD(18.697374558+24.065709824419*(TODAY()-DATE(2000,1,1)+0.5)+$AZ$1/15,24)))/1.00273790935,24)/24,"")</f>
        <v>0.66622470751149743</v>
      </c>
      <c r="AM156" t="str">
        <f>IF(AO156&gt;=20,"Yes","No")</f>
        <v>No</v>
      </c>
      <c r="AN156" s="7" t="str">
        <f>IF(AM156="Yes",TEXT(AL156,"h:mm AM/PM"),"")</f>
        <v/>
      </c>
      <c r="AP156">
        <f>ROUND(MAX(0,MIN(10,(AO156-20)/6)),1)</f>
        <v>0</v>
      </c>
      <c r="AQ156" t="str">
        <f ca="1">IF(AE156="⭐ PICK","PICK at "&amp;AN156,"")</f>
        <v/>
      </c>
    </row>
    <row r="157" spans="1:43" hidden="1" x14ac:dyDescent="0.3">
      <c r="A157" t="s">
        <v>287</v>
      </c>
      <c r="B157" t="s">
        <v>316</v>
      </c>
      <c r="C157" t="s">
        <v>317</v>
      </c>
      <c r="D157" t="s">
        <v>387</v>
      </c>
      <c r="E157" t="s">
        <v>44</v>
      </c>
      <c r="G157" t="s">
        <v>45</v>
      </c>
      <c r="H157" t="s">
        <v>45</v>
      </c>
      <c r="I157" t="s">
        <v>45</v>
      </c>
      <c r="S157" t="s">
        <v>400</v>
      </c>
      <c r="T157">
        <v>150</v>
      </c>
      <c r="V157" t="s">
        <v>57</v>
      </c>
      <c r="W157">
        <v>4</v>
      </c>
      <c r="X157" t="s">
        <v>44</v>
      </c>
      <c r="Y157" t="s">
        <v>391</v>
      </c>
      <c r="Z157" t="s">
        <v>388</v>
      </c>
      <c r="AA157" t="s">
        <v>389</v>
      </c>
      <c r="AB157">
        <v>150</v>
      </c>
      <c r="AD157">
        <v>6</v>
      </c>
      <c r="AG157" t="s">
        <v>392</v>
      </c>
      <c r="AH157" t="s">
        <v>7</v>
      </c>
      <c r="AI157">
        <v>5.2803000000000004</v>
      </c>
      <c r="AJ157">
        <v>33.935000000000002</v>
      </c>
      <c r="AK157" s="3" t="s">
        <v>7</v>
      </c>
      <c r="AL157" s="3">
        <v>0.85416666666666663</v>
      </c>
      <c r="AM157" s="3" t="s">
        <v>44</v>
      </c>
      <c r="AN157" s="3">
        <v>0.90625</v>
      </c>
      <c r="AO157" s="3">
        <v>58</v>
      </c>
    </row>
    <row r="158" spans="1:43" hidden="1" x14ac:dyDescent="0.3">
      <c r="A158" t="s">
        <v>287</v>
      </c>
      <c r="B158" t="s">
        <v>318</v>
      </c>
      <c r="C158" t="s">
        <v>319</v>
      </c>
      <c r="D158" t="s">
        <v>387</v>
      </c>
      <c r="E158" t="s">
        <v>44</v>
      </c>
      <c r="G158" t="s">
        <v>45</v>
      </c>
      <c r="H158" t="s">
        <v>45</v>
      </c>
      <c r="I158" t="s">
        <v>45</v>
      </c>
      <c r="S158">
        <v>40</v>
      </c>
      <c r="T158">
        <v>150</v>
      </c>
      <c r="V158" t="s">
        <v>57</v>
      </c>
      <c r="W158">
        <v>4</v>
      </c>
      <c r="X158" t="s">
        <v>44</v>
      </c>
      <c r="Y158" t="s">
        <v>46</v>
      </c>
      <c r="Z158" t="s">
        <v>388</v>
      </c>
      <c r="AA158" t="s">
        <v>389</v>
      </c>
      <c r="AB158">
        <v>150</v>
      </c>
      <c r="AD158">
        <v>5</v>
      </c>
      <c r="AG158" t="s">
        <v>8</v>
      </c>
      <c r="AH158" t="s">
        <v>8</v>
      </c>
      <c r="AI158">
        <v>5.45</v>
      </c>
      <c r="AJ158">
        <v>34</v>
      </c>
      <c r="AK158" s="3" t="s">
        <v>8</v>
      </c>
      <c r="AL158" s="3">
        <v>0.89583333333333337</v>
      </c>
      <c r="AM158" s="3" t="s">
        <v>44</v>
      </c>
      <c r="AN158" s="3">
        <v>0.92708333333333337</v>
      </c>
      <c r="AO158" s="3">
        <v>56</v>
      </c>
    </row>
    <row r="159" spans="1:43" x14ac:dyDescent="0.3">
      <c r="A159" t="s">
        <v>240</v>
      </c>
      <c r="B159" t="s">
        <v>256</v>
      </c>
      <c r="C159" t="s">
        <v>257</v>
      </c>
      <c r="D159" t="s">
        <v>202</v>
      </c>
      <c r="E159" t="s">
        <v>57</v>
      </c>
      <c r="I159" t="s">
        <v>45</v>
      </c>
      <c r="J159" t="s">
        <v>45</v>
      </c>
      <c r="K159" t="s">
        <v>45</v>
      </c>
      <c r="S159">
        <v>9</v>
      </c>
      <c r="X159" t="str">
        <f>IF(S159="", "", IF(S159&gt;78,"Yes","No"))</f>
        <v>No</v>
      </c>
      <c r="Y159" t="s">
        <v>116</v>
      </c>
      <c r="AB159">
        <f>IF(Y159="Emission Nebula",90,IF(Y159="Reflection Nebula",75,IF(Y159="Planetary Nebula",60,IF(Y159="Galaxy",90,IF(Y159="Globular Cluster",30,IF(Y159="Open Cluster",20,IF(Y159="Comet",20,IF(Y159="Planet",10,IF(Y159="Star",5,45)))))))))</f>
        <v>90</v>
      </c>
      <c r="AD159">
        <f>MAX(1,MIN(10,ROUND((IF(S159="",5,IF(S159&lt;3,2,IF(S159&lt;10,4,IF(S159&lt;=70,8,IF(S159&lt;=100,6,4))))))+IF(Y159="Emission Nebula",2,IF(Y159="Open Cluster",2,IF(Y159="Globular Cluster",2,IF(Y159="Reflection Nebula",1,IF(Y159="Planetary Nebula",1,IF(Y159="Comet",1,0))))))+IF(Z159="High (easy)",2,IF(Z159="Medium",1,IF(Z159="Low (hard)",-1,0)))+IF(AA159="High (OK with Moon)",2,IF(AA159="Medium",0,IF(AA159="Low (needs dark)",-2,0)))+IF(AC159="High (best &gt;50°)",1,IF(AC159="Medium",0,IF(AC159="Low (OK)",-1,0))),0)))</f>
        <v>4</v>
      </c>
      <c r="AE159" t="str">
        <f ca="1">IF(AND(CHOOSE(MONTH(TODAY()),G159,H159,I159,J159,K159,L159,M159,N159,O159,P159,Q159,R159)="✔",AD159&gt;=7,AM159="Yes",AO159&gt;=50,OR(X159="No",X159=""),OR(E159="No",V159="Yes")),"⭐ PICK","")</f>
        <v/>
      </c>
      <c r="AI159">
        <v>5.5E-2</v>
      </c>
      <c r="AJ159">
        <v>16.149999999999999</v>
      </c>
      <c r="AL159" s="5">
        <f ca="1">IFERROR(MOD((AI159-(MOD(18.697374558+24.065709824419*(TODAY()-DATE(2000,1,1)+0.5)+$AZ$1/15,24)))/1.00273790935,24)/24,"")</f>
        <v>0.76729700119470745</v>
      </c>
      <c r="AM159" t="str">
        <f>IF(AO159&gt;=20,"Yes","No")</f>
        <v>No</v>
      </c>
      <c r="AN159" s="7" t="str">
        <f>IF(AM159="Yes",TEXT(AL159,"h:mm AM/PM"),"")</f>
        <v/>
      </c>
      <c r="AP159">
        <f>ROUND(MAX(0,MIN(10,(AO159-20)/6)),1)</f>
        <v>0</v>
      </c>
      <c r="AQ159" t="str">
        <f ca="1">IF(AE159="⭐ PICK","PICK at "&amp;AN159,"")</f>
        <v/>
      </c>
    </row>
    <row r="160" spans="1:43" x14ac:dyDescent="0.3">
      <c r="A160" t="s">
        <v>240</v>
      </c>
      <c r="B160" t="s">
        <v>322</v>
      </c>
      <c r="C160" t="s">
        <v>323</v>
      </c>
      <c r="D160" t="s">
        <v>393</v>
      </c>
      <c r="E160" t="s">
        <v>57</v>
      </c>
      <c r="G160" t="s">
        <v>45</v>
      </c>
      <c r="H160" t="s">
        <v>45</v>
      </c>
      <c r="I160" t="s">
        <v>45</v>
      </c>
      <c r="S160">
        <v>35</v>
      </c>
      <c r="T160">
        <v>120</v>
      </c>
      <c r="V160" t="s">
        <v>57</v>
      </c>
      <c r="W160">
        <v>4</v>
      </c>
      <c r="X160" t="s">
        <v>57</v>
      </c>
      <c r="Y160" t="s">
        <v>46</v>
      </c>
      <c r="Z160" t="s">
        <v>388</v>
      </c>
      <c r="AA160" t="s">
        <v>48</v>
      </c>
      <c r="AB160">
        <v>120</v>
      </c>
      <c r="AD160">
        <v>5</v>
      </c>
      <c r="AE160" t="str">
        <f ca="1">IF(AND(CHOOSE(MONTH(TODAY()),G160,H160,I160,J160,K160,L160,M160,N160,O160,P160,Q160,R160)="✔",AD160&gt;=7,AM160="Yes",AO160&gt;=50,OR(X160="No",X160=""),OR(E160="No",V160="Yes")),"⭐ PICK","")</f>
        <v/>
      </c>
      <c r="AG160" t="s">
        <v>16</v>
      </c>
      <c r="AH160" t="s">
        <v>16</v>
      </c>
      <c r="AI160">
        <v>0.86670000000000003</v>
      </c>
      <c r="AJ160">
        <v>56.616999999999997</v>
      </c>
      <c r="AK160" t="s">
        <v>16</v>
      </c>
      <c r="AL160" s="5">
        <f ca="1">IFERROR(MOD((AI160-(MOD(18.697374558+24.065709824419*(TODAY()-DATE(2000,1,1)+0.5)+$AZ$1/15,24)))/1.00273790935,24)/24,"")</f>
        <v>0.80102548898595571</v>
      </c>
      <c r="AM160" t="str">
        <f>IF(AO160&gt;=20,"Yes","No")</f>
        <v>Yes</v>
      </c>
      <c r="AN160" s="7" t="str">
        <f ca="1">IF(AM160="Yes",TEXT(AL160,"h:mm AM/PM"),"")</f>
        <v>7:13 PM</v>
      </c>
      <c r="AO160" s="3">
        <v>40</v>
      </c>
      <c r="AP160">
        <f>ROUND(MAX(0,MIN(10,(AO160-20)/6)),1)</f>
        <v>3.3</v>
      </c>
      <c r="AQ160" t="str">
        <f ca="1">IF(AE160="⭐ PICK","PICK at "&amp;AN160,"")</f>
        <v/>
      </c>
    </row>
    <row r="161" spans="1:43" x14ac:dyDescent="0.3">
      <c r="A161" t="s">
        <v>240</v>
      </c>
      <c r="B161" t="s">
        <v>258</v>
      </c>
      <c r="C161" t="s">
        <v>116</v>
      </c>
      <c r="D161" t="s">
        <v>255</v>
      </c>
      <c r="E161" t="s">
        <v>57</v>
      </c>
      <c r="G161" t="s">
        <v>45</v>
      </c>
      <c r="H161" t="s">
        <v>45</v>
      </c>
      <c r="I161" t="s">
        <v>45</v>
      </c>
      <c r="J161" t="s">
        <v>45</v>
      </c>
      <c r="S161">
        <v>12</v>
      </c>
      <c r="X161" t="str">
        <f>IF(S161="", "", IF(S161&gt;78,"Yes","No"))</f>
        <v>No</v>
      </c>
      <c r="Y161" t="s">
        <v>116</v>
      </c>
      <c r="AB161">
        <f>IF(Y161="Emission Nebula",90,IF(Y161="Reflection Nebula",75,IF(Y161="Planetary Nebula",60,IF(Y161="Galaxy",90,IF(Y161="Globular Cluster",30,IF(Y161="Open Cluster",20,IF(Y161="Comet",20,IF(Y161="Planet",10,IF(Y161="Star",5,45)))))))))</f>
        <v>90</v>
      </c>
      <c r="AD161">
        <f>MAX(1,MIN(10,ROUND((IF(S161="",5,IF(S161&lt;3,2,IF(S161&lt;10,4,IF(S161&lt;=70,8,IF(S161&lt;=100,6,4))))))+IF(Y161="Emission Nebula",2,IF(Y161="Open Cluster",2,IF(Y161="Globular Cluster",2,IF(Y161="Reflection Nebula",1,IF(Y161="Planetary Nebula",1,IF(Y161="Comet",1,0))))))+IF(Z161="High (easy)",2,IF(Z161="Medium",1,IF(Z161="Low (hard)",-1,0)))+IF(AA161="High (OK with Moon)",2,IF(AA161="Medium",0,IF(AA161="Low (needs dark)",-2,0)))+IF(AC161="High (best &gt;50°)",1,IF(AC161="Medium",0,IF(AC161="Low (OK)",-1,0))),0)))</f>
        <v>8</v>
      </c>
      <c r="AE161" t="str">
        <f ca="1">IF(AND(CHOOSE(MONTH(TODAY()),G161,H161,I161,J161,K161,L161,M161,N161,O161,P161,Q161,R161)="✔",AD161&gt;=7,AM161="Yes",AO161&gt;=50,OR(X161="No",X161=""),OR(E161="No",V161="Yes")),"⭐ PICK","")</f>
        <v/>
      </c>
      <c r="AI161">
        <v>21.651666666666671</v>
      </c>
      <c r="AJ161">
        <v>57.5</v>
      </c>
      <c r="AL161" s="5">
        <f ca="1">IFERROR(MOD((AI161-(MOD(18.697374558+24.065709824419*(TODAY()-DATE(2000,1,1)+0.5)+$AZ$1/15,24)))/1.00273790935,24)/24,"")</f>
        <v>0.6647011012296048</v>
      </c>
      <c r="AM161" t="str">
        <f>IF(AO161&gt;=20,"Yes","No")</f>
        <v>No</v>
      </c>
      <c r="AN161" s="7" t="str">
        <f>IF(AM161="Yes",TEXT(AL161,"h:mm AM/PM"),"")</f>
        <v/>
      </c>
      <c r="AP161">
        <f>ROUND(MAX(0,MIN(10,(AO161-20)/6)),1)</f>
        <v>0</v>
      </c>
      <c r="AQ161" t="str">
        <f ca="1">IF(AE161="⭐ PICK","PICK at "&amp;AN161,"")</f>
        <v/>
      </c>
    </row>
    <row r="162" spans="1:43" x14ac:dyDescent="0.3">
      <c r="A162" t="s">
        <v>240</v>
      </c>
      <c r="B162" t="s">
        <v>259</v>
      </c>
      <c r="C162" t="s">
        <v>116</v>
      </c>
      <c r="D162" t="s">
        <v>202</v>
      </c>
      <c r="E162" t="s">
        <v>57</v>
      </c>
      <c r="I162" t="s">
        <v>45</v>
      </c>
      <c r="J162" t="s">
        <v>45</v>
      </c>
      <c r="K162" t="s">
        <v>45</v>
      </c>
      <c r="S162">
        <v>5</v>
      </c>
      <c r="X162" t="str">
        <f>IF(S162="", "", IF(S162&gt;78,"Yes","No"))</f>
        <v>No</v>
      </c>
      <c r="Y162" t="s">
        <v>116</v>
      </c>
      <c r="AB162">
        <f>IF(Y162="Emission Nebula",90,IF(Y162="Reflection Nebula",75,IF(Y162="Planetary Nebula",60,IF(Y162="Galaxy",90,IF(Y162="Globular Cluster",30,IF(Y162="Open Cluster",20,IF(Y162="Comet",20,IF(Y162="Planet",10,IF(Y162="Star",5,45)))))))))</f>
        <v>90</v>
      </c>
      <c r="AD162">
        <f>MAX(1,MIN(10,ROUND((IF(S162="",5,IF(S162&lt;3,2,IF(S162&lt;10,4,IF(S162&lt;=70,8,IF(S162&lt;=100,6,4))))))+IF(Y162="Emission Nebula",2,IF(Y162="Open Cluster",2,IF(Y162="Globular Cluster",2,IF(Y162="Reflection Nebula",1,IF(Y162="Planetary Nebula",1,IF(Y162="Comet",1,0))))))+IF(Z162="High (easy)",2,IF(Z162="Medium",1,IF(Z162="Low (hard)",-1,0)))+IF(AA162="High (OK with Moon)",2,IF(AA162="Medium",0,IF(AA162="Low (needs dark)",-2,0)))+IF(AC162="High (best &gt;50°)",1,IF(AC162="Medium",0,IF(AC162="Low (OK)",-1,0))),0)))</f>
        <v>4</v>
      </c>
      <c r="AE162" t="str">
        <f ca="1">IF(AND(CHOOSE(MONTH(TODAY()),G162,H162,I162,J162,K162,L162,M162,N162,O162,P162,Q162,R162)="✔",AD162&gt;=7,AM162="Yes",AO162&gt;=50,OR(X162="No",X162=""),OR(E162="No",V162="Yes")),"⭐ PICK","")</f>
        <v/>
      </c>
      <c r="AI162">
        <v>3.78</v>
      </c>
      <c r="AJ162">
        <v>68.099999999999994</v>
      </c>
      <c r="AL162" s="5">
        <f ca="1">IFERROR(MOD((AI162-(MOD(18.697374558+24.065709824419*(TODAY()-DATE(2000,1,1)+0.5)+$AZ$1/15,24)))/1.00273790935,24)/24,"")</f>
        <v>0.92208154846882351</v>
      </c>
      <c r="AM162" t="str">
        <f>IF(AO162&gt;=20,"Yes","No")</f>
        <v>No</v>
      </c>
      <c r="AN162" s="7" t="str">
        <f>IF(AM162="Yes",TEXT(AL162,"h:mm AM/PM"),"")</f>
        <v/>
      </c>
      <c r="AP162">
        <f>ROUND(MAX(0,MIN(10,(AO162-20)/6)),1)</f>
        <v>0</v>
      </c>
      <c r="AQ162" t="str">
        <f ca="1">IF(AE162="⭐ PICK","PICK at "&amp;AN162,"")</f>
        <v/>
      </c>
    </row>
    <row r="163" spans="1:43" x14ac:dyDescent="0.3">
      <c r="A163" t="s">
        <v>240</v>
      </c>
      <c r="B163" t="s">
        <v>260</v>
      </c>
      <c r="C163" t="s">
        <v>229</v>
      </c>
      <c r="D163" t="s">
        <v>202</v>
      </c>
      <c r="E163" t="s">
        <v>57</v>
      </c>
      <c r="I163" t="s">
        <v>45</v>
      </c>
      <c r="J163" t="s">
        <v>45</v>
      </c>
      <c r="K163" t="s">
        <v>45</v>
      </c>
      <c r="S163">
        <v>8</v>
      </c>
      <c r="X163" t="str">
        <f>IF(S163="", "", IF(S163&gt;78,"Yes","No"))</f>
        <v>No</v>
      </c>
      <c r="Y163" t="s">
        <v>116</v>
      </c>
      <c r="AB163">
        <f>IF(Y163="Emission Nebula",90,IF(Y163="Reflection Nebula",75,IF(Y163="Planetary Nebula",60,IF(Y163="Galaxy",90,IF(Y163="Globular Cluster",30,IF(Y163="Open Cluster",20,IF(Y163="Comet",20,IF(Y163="Planet",10,IF(Y163="Star",5,45)))))))))</f>
        <v>90</v>
      </c>
      <c r="AD163">
        <f>MAX(1,MIN(10,ROUND((IF(S163="",5,IF(S163&lt;3,2,IF(S163&lt;10,4,IF(S163&lt;=70,8,IF(S163&lt;=100,6,4))))))+IF(Y163="Emission Nebula",2,IF(Y163="Open Cluster",2,IF(Y163="Globular Cluster",2,IF(Y163="Reflection Nebula",1,IF(Y163="Planetary Nebula",1,IF(Y163="Comet",1,0))))))+IF(Z163="High (easy)",2,IF(Z163="Medium",1,IF(Z163="Low (hard)",-1,0)))+IF(AA163="High (OK with Moon)",2,IF(AA163="Medium",0,IF(AA163="Low (needs dark)",-2,0)))+IF(AC163="High (best &gt;50°)",1,IF(AC163="Medium",0,IF(AC163="Low (OK)",-1,0))),0)))</f>
        <v>4</v>
      </c>
      <c r="AE163" t="str">
        <f ca="1">IF(AND(CHOOSE(MONTH(TODAY()),G163,H163,I163,J163,K163,L163,M163,N163,O163,P163,Q163,R163)="✔",AD163&gt;=7,AM163="Yes",AO163&gt;=50,OR(X163="No",X163=""),OR(E163="No",V163="Yes")),"⭐ PICK","")</f>
        <v/>
      </c>
      <c r="AI163">
        <v>0.94500000000000006</v>
      </c>
      <c r="AJ163">
        <v>61.06666666666667</v>
      </c>
      <c r="AL163" s="5">
        <f ca="1">IFERROR(MOD((AI163-(MOD(18.697374558+24.065709824419*(TODAY()-DATE(2000,1,1)+0.5)+$AZ$1/15,24)))/1.00273790935,24)/24,"")</f>
        <v>0.80427908094610689</v>
      </c>
      <c r="AM163" t="str">
        <f>IF(AO163&gt;=20,"Yes","No")</f>
        <v>No</v>
      </c>
      <c r="AN163" s="7" t="str">
        <f>IF(AM163="Yes",TEXT(AL163,"h:mm AM/PM"),"")</f>
        <v/>
      </c>
      <c r="AP163">
        <f>ROUND(MAX(0,MIN(10,(AO163-20)/6)),1)</f>
        <v>0</v>
      </c>
      <c r="AQ163" t="str">
        <f ca="1">IF(AE163="⭐ PICK","PICK at "&amp;AN163,"")</f>
        <v/>
      </c>
    </row>
    <row r="164" spans="1:43" x14ac:dyDescent="0.3">
      <c r="A164" t="s">
        <v>240</v>
      </c>
      <c r="B164" t="s">
        <v>261</v>
      </c>
      <c r="C164" t="s">
        <v>262</v>
      </c>
      <c r="D164" t="s">
        <v>179</v>
      </c>
      <c r="E164" t="s">
        <v>57</v>
      </c>
      <c r="I164" t="s">
        <v>45</v>
      </c>
      <c r="J164" t="s">
        <v>45</v>
      </c>
      <c r="K164" t="s">
        <v>45</v>
      </c>
      <c r="L164" t="s">
        <v>45</v>
      </c>
      <c r="S164">
        <v>0.7</v>
      </c>
      <c r="X164" t="str">
        <f>IF(S164="", "", IF(S164&gt;78,"Yes","No"))</f>
        <v>No</v>
      </c>
      <c r="Y164" t="s">
        <v>167</v>
      </c>
      <c r="AB164">
        <f>IF(Y164="Emission Nebula",90,IF(Y164="Reflection Nebula",75,IF(Y164="Planetary Nebula",60,IF(Y164="Galaxy",90,IF(Y164="Globular Cluster",30,IF(Y164="Open Cluster",20,IF(Y164="Comet",20,IF(Y164="Planet",10,IF(Y164="Star",5,45)))))))))</f>
        <v>60</v>
      </c>
      <c r="AD164">
        <f>MAX(1,MIN(10,ROUND((IF(S164="",5,IF(S164&lt;3,2,IF(S164&lt;10,4,IF(S164&lt;=70,8,IF(S164&lt;=100,6,4))))))+IF(Y164="Emission Nebula",2,IF(Y164="Open Cluster",2,IF(Y164="Globular Cluster",2,IF(Y164="Reflection Nebula",1,IF(Y164="Planetary Nebula",1,IF(Y164="Comet",1,0))))))+IF(Z164="High (easy)",2,IF(Z164="Medium",1,IF(Z164="Low (hard)",-1,0)))+IF(AA164="High (OK with Moon)",2,IF(AA164="Medium",0,IF(AA164="Low (needs dark)",-2,0)))+IF(AC164="High (best &gt;50°)",1,IF(AC164="Medium",0,IF(AC164="Low (OK)",-1,0))),0)))</f>
        <v>3</v>
      </c>
      <c r="AE164" t="str">
        <f ca="1">IF(AND(CHOOSE(MONTH(TODAY()),G164,H164,I164,J164,K164,L164,M164,N164,O164,P164,Q164,R164)="✔",AD164&gt;=7,AM164="Yes",AO164&gt;=50,OR(X164="No",X164=""),OR(E164="No",V164="Yes")),"⭐ PICK","")</f>
        <v/>
      </c>
      <c r="AI164">
        <v>6.15</v>
      </c>
      <c r="AJ164">
        <v>20.5</v>
      </c>
      <c r="AK164" t="s">
        <v>6</v>
      </c>
      <c r="AL164" s="5">
        <f ca="1">IFERROR(MOD((AI164-(MOD(18.697374558+24.065709824419*(TODAY()-DATE(2000,1,1)+0.5)+$AZ$1/15,24)))/1.00273790935,24)/24,"")</f>
        <v>2.05619181438986E-2</v>
      </c>
      <c r="AM164" t="str">
        <f>IF(AO164&gt;=20,"Yes","No")</f>
        <v>Yes</v>
      </c>
      <c r="AN164" s="7" t="str">
        <f ca="1">IF(AM164="Yes",TEXT(AL164,"h:mm AM/PM"),"")</f>
        <v>12:29 AM</v>
      </c>
      <c r="AO164">
        <v>77.5</v>
      </c>
      <c r="AP164">
        <f>ROUND(MAX(0,MIN(10,(AO164-20)/6)),1)</f>
        <v>9.6</v>
      </c>
      <c r="AQ164" t="str">
        <f ca="1">IF(AE164="⭐ PICK","PICK at "&amp;AN164,"")</f>
        <v/>
      </c>
    </row>
    <row r="165" spans="1:43" x14ac:dyDescent="0.3">
      <c r="A165" t="s">
        <v>240</v>
      </c>
      <c r="B165" t="s">
        <v>263</v>
      </c>
      <c r="C165" t="s">
        <v>264</v>
      </c>
      <c r="D165" t="s">
        <v>202</v>
      </c>
      <c r="E165" t="s">
        <v>57</v>
      </c>
      <c r="I165" t="s">
        <v>45</v>
      </c>
      <c r="J165" t="s">
        <v>45</v>
      </c>
      <c r="K165" t="s">
        <v>45</v>
      </c>
      <c r="S165">
        <v>15</v>
      </c>
      <c r="X165" t="str">
        <f>IF(S165="", "", IF(S165&gt;78,"Yes","No"))</f>
        <v>No</v>
      </c>
      <c r="Y165" t="s">
        <v>116</v>
      </c>
      <c r="AB165">
        <f>IF(Y165="Emission Nebula",90,IF(Y165="Reflection Nebula",75,IF(Y165="Planetary Nebula",60,IF(Y165="Galaxy",90,IF(Y165="Globular Cluster",30,IF(Y165="Open Cluster",20,IF(Y165="Comet",20,IF(Y165="Planet",10,IF(Y165="Star",5,45)))))))))</f>
        <v>90</v>
      </c>
      <c r="AD165">
        <f>MAX(1,MIN(10,ROUND((IF(S165="",5,IF(S165&lt;3,2,IF(S165&lt;10,4,IF(S165&lt;=70,8,IF(S165&lt;=100,6,4))))))+IF(Y165="Emission Nebula",2,IF(Y165="Open Cluster",2,IF(Y165="Globular Cluster",2,IF(Y165="Reflection Nebula",1,IF(Y165="Planetary Nebula",1,IF(Y165="Comet",1,0))))))+IF(Z165="High (easy)",2,IF(Z165="Medium",1,IF(Z165="Low (hard)",-1,0)))+IF(AA165="High (OK with Moon)",2,IF(AA165="Medium",0,IF(AA165="Low (needs dark)",-2,0)))+IF(AC165="High (best &gt;50°)",1,IF(AC165="Medium",0,IF(AC165="Low (OK)",-1,0))),0)))</f>
        <v>8</v>
      </c>
      <c r="AE165" t="str">
        <f ca="1">IF(AND(CHOOSE(MONTH(TODAY()),G165,H165,I165,J165,K165,L165,M165,N165,O165,P165,Q165,R165)="✔",AD165&gt;=7,AM165="Yes",AO165&gt;=50,OR(X165="No",X165=""),OR(E165="No",V165="Yes")),"⭐ PICK","")</f>
        <v>⭐ PICK</v>
      </c>
      <c r="AI165">
        <v>5.68</v>
      </c>
      <c r="AJ165">
        <v>-1.85</v>
      </c>
      <c r="AK165" t="s">
        <v>6</v>
      </c>
      <c r="AL165" s="5">
        <f ca="1">IFERROR(MOD((AI165-(MOD(18.697374558+24.065709824419*(TODAY()-DATE(2000,1,1)+0.5)+$AZ$1/15,24)))/1.00273790935,24)/24,"")</f>
        <v>1.0320558032718527E-3</v>
      </c>
      <c r="AM165" t="str">
        <f>IF(AO165&gt;=20,"Yes","No")</f>
        <v>Yes</v>
      </c>
      <c r="AN165" s="7" t="str">
        <f ca="1">IF(AM165="Yes",TEXT(AL165,"h:mm AM/PM"),"")</f>
        <v>12:01 AM</v>
      </c>
      <c r="AO165">
        <v>55.1</v>
      </c>
      <c r="AP165">
        <f>ROUND(MAX(0,MIN(10,(AO165-20)/6)),1)</f>
        <v>5.9</v>
      </c>
      <c r="AQ165" t="str">
        <f ca="1">IF(AE165="⭐ PICK","PICK at "&amp;AN165,"")</f>
        <v>PICK at 12:01 AM</v>
      </c>
    </row>
    <row r="166" spans="1:43" x14ac:dyDescent="0.3">
      <c r="A166" t="s">
        <v>240</v>
      </c>
      <c r="B166" t="s">
        <v>265</v>
      </c>
      <c r="C166" t="s">
        <v>266</v>
      </c>
      <c r="D166" t="s">
        <v>158</v>
      </c>
      <c r="E166" t="s">
        <v>57</v>
      </c>
      <c r="J166" t="s">
        <v>45</v>
      </c>
      <c r="K166" t="s">
        <v>45</v>
      </c>
      <c r="L166" t="s">
        <v>45</v>
      </c>
      <c r="S166">
        <v>16</v>
      </c>
      <c r="X166" t="str">
        <f>IF(S166="", "", IF(S166&gt;78,"Yes","No"))</f>
        <v>No</v>
      </c>
      <c r="Y166" t="s">
        <v>116</v>
      </c>
      <c r="AB166">
        <f>IF(Y166="Emission Nebula",90,IF(Y166="Reflection Nebula",75,IF(Y166="Planetary Nebula",60,IF(Y166="Galaxy",90,IF(Y166="Globular Cluster",30,IF(Y166="Open Cluster",20,IF(Y166="Comet",20,IF(Y166="Planet",10,IF(Y166="Star",5,45)))))))))</f>
        <v>90</v>
      </c>
      <c r="AD166">
        <f>MAX(1,MIN(10,ROUND((IF(S166="",5,IF(S166&lt;3,2,IF(S166&lt;10,4,IF(S166&lt;=70,8,IF(S166&lt;=100,6,4))))))+IF(Y166="Emission Nebula",2,IF(Y166="Open Cluster",2,IF(Y166="Globular Cluster",2,IF(Y166="Reflection Nebula",1,IF(Y166="Planetary Nebula",1,IF(Y166="Comet",1,0))))))+IF(Z166="High (easy)",2,IF(Z166="Medium",1,IF(Z166="Low (hard)",-1,0)))+IF(AA166="High (OK with Moon)",2,IF(AA166="Medium",0,IF(AA166="Low (needs dark)",-2,0)))+IF(AC166="High (best &gt;50°)",1,IF(AC166="Medium",0,IF(AC166="Low (OK)",-1,0))),0)))</f>
        <v>8</v>
      </c>
      <c r="AE166" t="str">
        <f ca="1">IF(AND(CHOOSE(MONTH(TODAY()),G166,H166,I166,J166,K166,L166,M166,N166,O166,P166,Q166,R166)="✔",AD166&gt;=7,AM166="Yes",AO166&gt;=50,OR(X166="No",X166=""),OR(E166="No",V166="Yes")),"⭐ PICK","")</f>
        <v/>
      </c>
      <c r="AI166">
        <v>5.58</v>
      </c>
      <c r="AJ166">
        <v>-4.87</v>
      </c>
      <c r="AK166" t="s">
        <v>6</v>
      </c>
      <c r="AL166" s="5">
        <f ca="1">IFERROR(MOD((AI166-(MOD(18.697374558+24.065709824419*(TODAY()-DATE(2000,1,1)+0.5)+$AZ$1/15,24)))/1.00273790935,24)/24,"")</f>
        <v>0.996876765943564</v>
      </c>
      <c r="AM166" t="str">
        <f>IF(AO166&gt;=20,"Yes","No")</f>
        <v>Yes</v>
      </c>
      <c r="AN166" s="7" t="str">
        <f ca="1">IF(AM166="Yes",TEXT(AL166,"h:mm AM/PM"),"")</f>
        <v>11:55 PM</v>
      </c>
      <c r="AO166">
        <v>52.1</v>
      </c>
      <c r="AP166">
        <f>ROUND(MAX(0,MIN(10,(AO166-20)/6)),1)</f>
        <v>5.4</v>
      </c>
      <c r="AQ166" t="str">
        <f ca="1">IF(AE166="⭐ PICK","PICK at "&amp;AN166,"")</f>
        <v/>
      </c>
    </row>
    <row r="167" spans="1:43" x14ac:dyDescent="0.3">
      <c r="A167" t="s">
        <v>240</v>
      </c>
      <c r="B167" t="s">
        <v>267</v>
      </c>
      <c r="C167" t="s">
        <v>268</v>
      </c>
      <c r="D167" t="s">
        <v>158</v>
      </c>
      <c r="E167" t="s">
        <v>57</v>
      </c>
      <c r="J167" t="s">
        <v>45</v>
      </c>
      <c r="K167" t="s">
        <v>45</v>
      </c>
      <c r="L167" t="s">
        <v>45</v>
      </c>
      <c r="S167">
        <v>15</v>
      </c>
      <c r="X167" t="str">
        <f>IF(S167="", "", IF(S167&gt;78,"Yes","No"))</f>
        <v>No</v>
      </c>
      <c r="Y167" t="s">
        <v>116</v>
      </c>
      <c r="AB167">
        <f>IF(Y167="Emission Nebula",90,IF(Y167="Reflection Nebula",75,IF(Y167="Planetary Nebula",60,IF(Y167="Galaxy",90,IF(Y167="Globular Cluster",30,IF(Y167="Open Cluster",20,IF(Y167="Comet",20,IF(Y167="Planet",10,IF(Y167="Star",5,45)))))))))</f>
        <v>90</v>
      </c>
      <c r="AD167">
        <f>MAX(1,MIN(10,ROUND((IF(S167="",5,IF(S167&lt;3,2,IF(S167&lt;10,4,IF(S167&lt;=70,8,IF(S167&lt;=100,6,4))))))+IF(Y167="Emission Nebula",2,IF(Y167="Open Cluster",2,IF(Y167="Globular Cluster",2,IF(Y167="Reflection Nebula",1,IF(Y167="Planetary Nebula",1,IF(Y167="Comet",1,0))))))+IF(Z167="High (easy)",2,IF(Z167="Medium",1,IF(Z167="Low (hard)",-1,0)))+IF(AA167="High (OK with Moon)",2,IF(AA167="Medium",0,IF(AA167="Low (needs dark)",-2,0)))+IF(AC167="High (best &gt;50°)",1,IF(AC167="Medium",0,IF(AC167="Low (OK)",-1,0))),0)))</f>
        <v>8</v>
      </c>
      <c r="AE167" t="str">
        <f ca="1">IF(AND(CHOOSE(MONTH(TODAY()),G167,H167,I167,J167,K167,L167,M167,N167,O167,P167,Q167,R167)="✔",AD167&gt;=7,AM167="Yes",AO167&gt;=50,OR(X167="No",X167=""),OR(E167="No",V167="Yes")),"⭐ PICK","")</f>
        <v/>
      </c>
      <c r="AI167">
        <v>5.67</v>
      </c>
      <c r="AJ167">
        <v>-2.4500000000000002</v>
      </c>
      <c r="AK167" t="s">
        <v>6</v>
      </c>
      <c r="AL167" s="5">
        <f ca="1">IFERROR(MOD((AI167-(MOD(18.697374558+24.065709824419*(TODAY()-DATE(2000,1,1)+0.5)+$AZ$1/15,24)))/1.00273790935,24)/24,"")</f>
        <v>6.1652681730108027E-4</v>
      </c>
      <c r="AM167" t="str">
        <f>IF(AO167&gt;=20,"Yes","No")</f>
        <v>Yes</v>
      </c>
      <c r="AN167" s="7" t="str">
        <f ca="1">IF(AM167="Yes",TEXT(AL167,"h:mm AM/PM"),"")</f>
        <v>12:00 AM</v>
      </c>
      <c r="AO167">
        <v>54.5</v>
      </c>
      <c r="AP167">
        <f>ROUND(MAX(0,MIN(10,(AO167-20)/6)),1)</f>
        <v>5.8</v>
      </c>
      <c r="AQ167" t="str">
        <f ca="1">IF(AE167="⭐ PICK","PICK at "&amp;AN167,"")</f>
        <v/>
      </c>
    </row>
    <row r="168" spans="1:43" x14ac:dyDescent="0.3">
      <c r="A168" t="s">
        <v>240</v>
      </c>
      <c r="B168" t="s">
        <v>269</v>
      </c>
      <c r="C168" t="s">
        <v>270</v>
      </c>
      <c r="D168" t="s">
        <v>158</v>
      </c>
      <c r="E168" t="s">
        <v>57</v>
      </c>
      <c r="J168" t="s">
        <v>45</v>
      </c>
      <c r="K168" t="s">
        <v>45</v>
      </c>
      <c r="L168" t="s">
        <v>45</v>
      </c>
      <c r="S168">
        <v>15</v>
      </c>
      <c r="X168" t="str">
        <f>IF(S168="", "", IF(S168&gt;78,"Yes","No"))</f>
        <v>No</v>
      </c>
      <c r="Y168" t="s">
        <v>116</v>
      </c>
      <c r="AB168">
        <f>IF(Y168="Emission Nebula",90,IF(Y168="Reflection Nebula",75,IF(Y168="Planetary Nebula",60,IF(Y168="Galaxy",90,IF(Y168="Globular Cluster",30,IF(Y168="Open Cluster",20,IF(Y168="Comet",20,IF(Y168="Planet",10,IF(Y168="Star",5,45)))))))))</f>
        <v>90</v>
      </c>
      <c r="AD168">
        <f>MAX(1,MIN(10,ROUND((IF(S168="",5,IF(S168&lt;3,2,IF(S168&lt;10,4,IF(S168&lt;=70,8,IF(S168&lt;=100,6,4))))))+IF(Y168="Emission Nebula",2,IF(Y168="Open Cluster",2,IF(Y168="Globular Cluster",2,IF(Y168="Reflection Nebula",1,IF(Y168="Planetary Nebula",1,IF(Y168="Comet",1,0))))))+IF(Z168="High (easy)",2,IF(Z168="Medium",1,IF(Z168="Low (hard)",-1,0)))+IF(AA168="High (OK with Moon)",2,IF(AA168="Medium",0,IF(AA168="Low (needs dark)",-2,0)))+IF(AC168="High (best &gt;50°)",1,IF(AC168="Medium",0,IF(AC168="Low (OK)",-1,0))),0)))</f>
        <v>8</v>
      </c>
      <c r="AE168" t="str">
        <f ca="1">IF(AND(CHOOSE(MONTH(TODAY()),G168,H168,I168,J168,K168,L168,M168,N168,O168,P168,Q168,R168)="✔",AD168&gt;=7,AM168="Yes",AO168&gt;=50,OR(X168="No",X168=""),OR(E168="No",V168="Yes")),"⭐ PICK","")</f>
        <v/>
      </c>
      <c r="AI168">
        <v>5.77</v>
      </c>
      <c r="AJ168">
        <v>0.08</v>
      </c>
      <c r="AK168" t="s">
        <v>6</v>
      </c>
      <c r="AL168" s="5">
        <f ca="1">IFERROR(MOD((AI168-(MOD(18.697374558+24.065709824419*(TODAY()-DATE(2000,1,1)+0.5)+$AZ$1/15,24)))/1.00273790935,24)/24,"")</f>
        <v>4.7718166770088786E-3</v>
      </c>
      <c r="AM168" t="str">
        <f>IF(AO168&gt;=20,"Yes","No")</f>
        <v>Yes</v>
      </c>
      <c r="AN168" s="7" t="str">
        <f ca="1">IF(AM168="Yes",TEXT(AL168,"h:mm AM/PM"),"")</f>
        <v>12:06 AM</v>
      </c>
      <c r="AO168">
        <v>57.1</v>
      </c>
      <c r="AP168">
        <f>ROUND(MAX(0,MIN(10,(AO168-20)/6)),1)</f>
        <v>6.2</v>
      </c>
      <c r="AQ168" t="str">
        <f ca="1">IF(AE168="⭐ PICK","PICK at "&amp;AN168,"")</f>
        <v/>
      </c>
    </row>
    <row r="169" spans="1:43" x14ac:dyDescent="0.3">
      <c r="A169" t="s">
        <v>240</v>
      </c>
      <c r="B169" t="s">
        <v>271</v>
      </c>
      <c r="C169" t="s">
        <v>272</v>
      </c>
      <c r="D169" t="s">
        <v>158</v>
      </c>
      <c r="E169" t="s">
        <v>57</v>
      </c>
      <c r="J169" t="s">
        <v>45</v>
      </c>
      <c r="K169" t="s">
        <v>45</v>
      </c>
      <c r="L169" t="s">
        <v>45</v>
      </c>
      <c r="S169">
        <v>11</v>
      </c>
      <c r="X169" t="str">
        <f>IF(S169="", "", IF(S169&gt;78,"Yes","No"))</f>
        <v>No</v>
      </c>
      <c r="Y169" t="s">
        <v>116</v>
      </c>
      <c r="AB169">
        <f>IF(Y169="Emission Nebula",90,IF(Y169="Reflection Nebula",75,IF(Y169="Planetary Nebula",60,IF(Y169="Galaxy",90,IF(Y169="Globular Cluster",30,IF(Y169="Open Cluster",20,IF(Y169="Comet",20,IF(Y169="Planet",10,IF(Y169="Star",5,45)))))))))</f>
        <v>90</v>
      </c>
      <c r="AD169">
        <f>MAX(1,MIN(10,ROUND((IF(S169="",5,IF(S169&lt;3,2,IF(S169&lt;10,4,IF(S169&lt;=70,8,IF(S169&lt;=100,6,4))))))+IF(Y169="Emission Nebula",2,IF(Y169="Open Cluster",2,IF(Y169="Globular Cluster",2,IF(Y169="Reflection Nebula",1,IF(Y169="Planetary Nebula",1,IF(Y169="Comet",1,0))))))+IF(Z169="High (easy)",2,IF(Z169="Medium",1,IF(Z169="Low (hard)",-1,0)))+IF(AA169="High (OK with Moon)",2,IF(AA169="Medium",0,IF(AA169="Low (needs dark)",-2,0)))+IF(AC169="High (best &gt;50°)",1,IF(AC169="Medium",0,IF(AC169="Low (OK)",-1,0))),0)))</f>
        <v>8</v>
      </c>
      <c r="AE169" t="str">
        <f ca="1">IF(AND(CHOOSE(MONTH(TODAY()),G169,H169,I169,J169,K169,L169,M169,N169,O169,P169,Q169,R169)="✔",AD169&gt;=7,AM169="Yes",AO169&gt;=50,OR(X169="No",X169=""),OR(E169="No",V169="Yes")),"⭐ PICK","")</f>
        <v/>
      </c>
      <c r="AI169">
        <v>5.78</v>
      </c>
      <c r="AJ169">
        <v>0.23</v>
      </c>
      <c r="AK169" t="s">
        <v>6</v>
      </c>
      <c r="AL169" s="5">
        <f ca="1">IFERROR(MOD((AI169-(MOD(18.697374558+24.065709824419*(TODAY()-DATE(2000,1,1)+0.5)+$AZ$1/15,24)))/1.00273790935,24)/24,"")</f>
        <v>5.1873456629796871E-3</v>
      </c>
      <c r="AM169" t="str">
        <f>IF(AO169&gt;=20,"Yes","No")</f>
        <v>Yes</v>
      </c>
      <c r="AN169" s="7" t="str">
        <f ca="1">IF(AM169="Yes",TEXT(AL169,"h:mm AM/PM"),"")</f>
        <v>12:07 AM</v>
      </c>
      <c r="AO169">
        <v>57.2</v>
      </c>
      <c r="AP169">
        <f>ROUND(MAX(0,MIN(10,(AO169-20)/6)),1)</f>
        <v>6.2</v>
      </c>
      <c r="AQ169" t="str">
        <f ca="1">IF(AE169="⭐ PICK","PICK at "&amp;AN169,"")</f>
        <v/>
      </c>
    </row>
    <row r="170" spans="1:43" x14ac:dyDescent="0.3">
      <c r="A170" t="s">
        <v>240</v>
      </c>
      <c r="B170" t="s">
        <v>273</v>
      </c>
      <c r="C170" t="s">
        <v>274</v>
      </c>
      <c r="D170" t="s">
        <v>158</v>
      </c>
      <c r="E170" t="s">
        <v>57</v>
      </c>
      <c r="J170" t="s">
        <v>45</v>
      </c>
      <c r="K170" t="s">
        <v>45</v>
      </c>
      <c r="L170" t="s">
        <v>45</v>
      </c>
      <c r="S170">
        <v>10</v>
      </c>
      <c r="X170" t="str">
        <f>IF(S170="", "", IF(S170&gt;78,"Yes","No"))</f>
        <v>No</v>
      </c>
      <c r="Y170" t="s">
        <v>70</v>
      </c>
      <c r="AB170">
        <f>IF(Y170="Emission Nebula",90,IF(Y170="Reflection Nebula",75,IF(Y170="Planetary Nebula",60,IF(Y170="Galaxy",90,IF(Y170="Globular Cluster",30,IF(Y170="Open Cluster",20,IF(Y170="Comet",20,IF(Y170="Planet",10,IF(Y170="Star",5,45)))))))))</f>
        <v>20</v>
      </c>
      <c r="AD170">
        <f>MAX(1,MIN(10,ROUND((IF(S170="",5,IF(S170&lt;3,2,IF(S170&lt;10,4,IF(S170&lt;=70,8,IF(S170&lt;=100,6,4))))))+IF(Y170="Emission Nebula",2,IF(Y170="Open Cluster",2,IF(Y170="Globular Cluster",2,IF(Y170="Reflection Nebula",1,IF(Y170="Planetary Nebula",1,IF(Y170="Comet",1,0))))))+IF(Z170="High (easy)",2,IF(Z170="Medium",1,IF(Z170="Low (hard)",-1,0)))+IF(AA170="High (OK with Moon)",2,IF(AA170="Medium",0,IF(AA170="Low (needs dark)",-2,0)))+IF(AC170="High (best &gt;50°)",1,IF(AC170="Medium",0,IF(AC170="Low (OK)",-1,0))),0)))</f>
        <v>10</v>
      </c>
      <c r="AE170" t="str">
        <f ca="1">IF(AND(CHOOSE(MONTH(TODAY()),G170,H170,I170,J170,K170,L170,M170,N170,O170,P170,Q170,R170)="✔",AD170&gt;=7,AM170="Yes",AO170&gt;=50,OR(X170="No",X170=""),OR(E170="No",V170="Yes")),"⭐ PICK","")</f>
        <v/>
      </c>
      <c r="AI170">
        <v>5.6</v>
      </c>
      <c r="AJ170">
        <v>-6.72</v>
      </c>
      <c r="AK170" t="s">
        <v>6</v>
      </c>
      <c r="AL170" s="5">
        <f ca="1">IFERROR(MOD((AI170-(MOD(18.697374558+24.065709824419*(TODAY()-DATE(2000,1,1)+0.5)+$AZ$1/15,24)))/1.00273790935,24)/24,"")</f>
        <v>0.99770782391550561</v>
      </c>
      <c r="AM170" t="str">
        <f>IF(AO170&gt;=20,"Yes","No")</f>
        <v>Yes</v>
      </c>
      <c r="AN170" s="7" t="str">
        <f ca="1">IF(AM170="Yes",TEXT(AL170,"h:mm AM/PM"),"")</f>
        <v>11:56 PM</v>
      </c>
      <c r="AO170">
        <v>50.3</v>
      </c>
      <c r="AP170">
        <f>ROUND(MAX(0,MIN(10,(AO170-20)/6)),1)</f>
        <v>5.0999999999999996</v>
      </c>
      <c r="AQ170" t="str">
        <f ca="1">IF(AE170="⭐ PICK","PICK at "&amp;AN170,"")</f>
        <v/>
      </c>
    </row>
    <row r="171" spans="1:43" x14ac:dyDescent="0.3">
      <c r="A171" t="s">
        <v>240</v>
      </c>
      <c r="B171" t="s">
        <v>275</v>
      </c>
      <c r="C171" t="s">
        <v>276</v>
      </c>
      <c r="D171" t="s">
        <v>158</v>
      </c>
      <c r="E171" t="s">
        <v>57</v>
      </c>
      <c r="J171" t="s">
        <v>45</v>
      </c>
      <c r="K171" t="s">
        <v>45</v>
      </c>
      <c r="L171" t="s">
        <v>45</v>
      </c>
      <c r="S171">
        <v>13</v>
      </c>
      <c r="X171" t="str">
        <f>IF(S171="", "", IF(S171&gt;78,"Yes","No"))</f>
        <v>No</v>
      </c>
      <c r="Y171" t="s">
        <v>116</v>
      </c>
      <c r="AB171">
        <f>IF(Y171="Emission Nebula",90,IF(Y171="Reflection Nebula",75,IF(Y171="Planetary Nebula",60,IF(Y171="Galaxy",90,IF(Y171="Globular Cluster",30,IF(Y171="Open Cluster",20,IF(Y171="Comet",20,IF(Y171="Planet",10,IF(Y171="Star",5,45)))))))))</f>
        <v>90</v>
      </c>
      <c r="AD171">
        <f>MAX(1,MIN(10,ROUND((IF(S171="",5,IF(S171&lt;3,2,IF(S171&lt;10,4,IF(S171&lt;=70,8,IF(S171&lt;=100,6,4))))))+IF(Y171="Emission Nebula",2,IF(Y171="Open Cluster",2,IF(Y171="Globular Cluster",2,IF(Y171="Reflection Nebula",1,IF(Y171="Planetary Nebula",1,IF(Y171="Comet",1,0))))))+IF(Z171="High (easy)",2,IF(Z171="Medium",1,IF(Z171="Low (hard)",-1,0)))+IF(AA171="High (OK with Moon)",2,IF(AA171="Medium",0,IF(AA171="Low (needs dark)",-2,0)))+IF(AC171="High (best &gt;50°)",1,IF(AC171="Medium",0,IF(AC171="Low (OK)",-1,0))),0)))</f>
        <v>8</v>
      </c>
      <c r="AE171" t="str">
        <f ca="1">IF(AND(CHOOSE(MONTH(TODAY()),G171,H171,I171,J171,K171,L171,M171,N171,O171,P171,Q171,R171)="✔",AD171&gt;=7,AM171="Yes",AO171&gt;=50,OR(X171="No",X171=""),OR(E171="No",V171="Yes")),"⭐ PICK","")</f>
        <v/>
      </c>
      <c r="AI171">
        <v>5.58</v>
      </c>
      <c r="AJ171">
        <v>-5.91</v>
      </c>
      <c r="AK171" t="s">
        <v>6</v>
      </c>
      <c r="AL171" s="5">
        <f ca="1">IFERROR(MOD((AI171-(MOD(18.697374558+24.065709824419*(TODAY()-DATE(2000,1,1)+0.5)+$AZ$1/15,24)))/1.00273790935,24)/24,"")</f>
        <v>0.996876765943564</v>
      </c>
      <c r="AM171" t="str">
        <f>IF(AO171&gt;=20,"Yes","No")</f>
        <v>Yes</v>
      </c>
      <c r="AN171" s="7" t="str">
        <f ca="1">IF(AM171="Yes",TEXT(AL171,"h:mm AM/PM"),"")</f>
        <v>11:55 PM</v>
      </c>
      <c r="AO171">
        <v>51.1</v>
      </c>
      <c r="AP171">
        <f>ROUND(MAX(0,MIN(10,(AO171-20)/6)),1)</f>
        <v>5.2</v>
      </c>
      <c r="AQ171" t="str">
        <f ca="1">IF(AE171="⭐ PICK","PICK at "&amp;AN171,"")</f>
        <v/>
      </c>
    </row>
    <row r="172" spans="1:43" x14ac:dyDescent="0.3">
      <c r="A172" t="s">
        <v>240</v>
      </c>
      <c r="B172" t="s">
        <v>277</v>
      </c>
      <c r="C172" t="s">
        <v>167</v>
      </c>
      <c r="D172" t="s">
        <v>76</v>
      </c>
      <c r="E172" t="s">
        <v>57</v>
      </c>
      <c r="L172" t="s">
        <v>45</v>
      </c>
      <c r="M172" t="s">
        <v>45</v>
      </c>
      <c r="N172" t="s">
        <v>45</v>
      </c>
      <c r="S172">
        <v>0.4</v>
      </c>
      <c r="X172" t="str">
        <f>IF(S172="", "", IF(S172&gt;78,"Yes","No"))</f>
        <v>No</v>
      </c>
      <c r="Y172" t="s">
        <v>167</v>
      </c>
      <c r="AB172">
        <f>IF(Y172="Emission Nebula",90,IF(Y172="Reflection Nebula",75,IF(Y172="Planetary Nebula",60,IF(Y172="Galaxy",90,IF(Y172="Globular Cluster",30,IF(Y172="Open Cluster",20,IF(Y172="Comet",20,IF(Y172="Planet",10,IF(Y172="Star",5,45)))))))))</f>
        <v>60</v>
      </c>
      <c r="AD172">
        <f>MAX(1,MIN(10,ROUND((IF(S172="",5,IF(S172&lt;3,2,IF(S172&lt;10,4,IF(S172&lt;=70,8,IF(S172&lt;=100,6,4))))))+IF(Y172="Emission Nebula",2,IF(Y172="Open Cluster",2,IF(Y172="Globular Cluster",2,IF(Y172="Reflection Nebula",1,IF(Y172="Planetary Nebula",1,IF(Y172="Comet",1,0))))))+IF(Z172="High (easy)",2,IF(Z172="Medium",1,IF(Z172="Low (hard)",-1,0)))+IF(AA172="High (OK with Moon)",2,IF(AA172="Medium",0,IF(AA172="Low (needs dark)",-2,0)))+IF(AC172="High (best &gt;50°)",1,IF(AC172="Medium",0,IF(AC172="Low (OK)",-1,0))),0)))</f>
        <v>3</v>
      </c>
      <c r="AE172" t="str">
        <f ca="1">IF(AND(CHOOSE(MONTH(TODAY()),G172,H172,I172,J172,K172,L172,M172,N172,O172,P172,Q172,R172)="✔",AD172&gt;=7,AM172="Yes",AO172&gt;=50,OR(X172="No",X172=""),OR(E172="No",V172="Yes")),"⭐ PICK","")</f>
        <v/>
      </c>
      <c r="AI172">
        <v>5.58</v>
      </c>
      <c r="AJ172">
        <v>-4.42</v>
      </c>
      <c r="AK172" t="s">
        <v>6</v>
      </c>
      <c r="AL172" s="5">
        <f ca="1">IFERROR(MOD((AI172-(MOD(18.697374558+24.065709824419*(TODAY()-DATE(2000,1,1)+0.5)+$AZ$1/15,24)))/1.00273790935,24)/24,"")</f>
        <v>0.996876765943564</v>
      </c>
      <c r="AM172" t="str">
        <f>IF(AO172&gt;=20,"Yes","No")</f>
        <v>Yes</v>
      </c>
      <c r="AN172" s="7" t="str">
        <f ca="1">IF(AM172="Yes",TEXT(AL172,"h:mm AM/PM"),"")</f>
        <v>11:55 PM</v>
      </c>
      <c r="AO172">
        <v>52.6</v>
      </c>
      <c r="AP172">
        <f>ROUND(MAX(0,MIN(10,(AO172-20)/6)),1)</f>
        <v>5.4</v>
      </c>
      <c r="AQ172" t="str">
        <f ca="1">IF(AE172="⭐ PICK","PICK at "&amp;AN172,"")</f>
        <v/>
      </c>
    </row>
    <row r="173" spans="1:43" x14ac:dyDescent="0.3">
      <c r="A173" t="s">
        <v>240</v>
      </c>
      <c r="B173" t="s">
        <v>278</v>
      </c>
      <c r="C173" t="s">
        <v>279</v>
      </c>
      <c r="D173" t="s">
        <v>280</v>
      </c>
      <c r="E173" t="s">
        <v>57</v>
      </c>
      <c r="L173" t="s">
        <v>45</v>
      </c>
      <c r="M173" t="s">
        <v>45</v>
      </c>
      <c r="N173" t="s">
        <v>45</v>
      </c>
      <c r="O173" t="s">
        <v>45</v>
      </c>
      <c r="S173">
        <v>0.4</v>
      </c>
      <c r="X173" t="str">
        <f>IF(S173="", "", IF(S173&gt;78,"Yes","No"))</f>
        <v>No</v>
      </c>
      <c r="Y173" t="s">
        <v>167</v>
      </c>
      <c r="AB173">
        <f>IF(Y173="Emission Nebula",90,IF(Y173="Reflection Nebula",75,IF(Y173="Planetary Nebula",60,IF(Y173="Galaxy",90,IF(Y173="Globular Cluster",30,IF(Y173="Open Cluster",20,IF(Y173="Comet",20,IF(Y173="Planet",10,IF(Y173="Star",5,45)))))))))</f>
        <v>60</v>
      </c>
      <c r="AD173">
        <f>MAX(1,MIN(10,ROUND((IF(S173="",5,IF(S173&lt;3,2,IF(S173&lt;10,4,IF(S173&lt;=70,8,IF(S173&lt;=100,6,4))))))+IF(Y173="Emission Nebula",2,IF(Y173="Open Cluster",2,IF(Y173="Globular Cluster",2,IF(Y173="Reflection Nebula",1,IF(Y173="Planetary Nebula",1,IF(Y173="Comet",1,0))))))+IF(Z173="High (easy)",2,IF(Z173="Medium",1,IF(Z173="Low (hard)",-1,0)))+IF(AA173="High (OK with Moon)",2,IF(AA173="Medium",0,IF(AA173="Low (needs dark)",-2,0)))+IF(AC173="High (best &gt;50°)",1,IF(AC173="Medium",0,IF(AC173="Low (OK)",-1,0))),0)))</f>
        <v>3</v>
      </c>
      <c r="AE173" t="str">
        <f ca="1">IF(AND(CHOOSE(MONTH(TODAY()),G173,H173,I173,J173,K173,L173,M173,N173,O173,P173,Q173,R173)="✔",AD173&gt;=7,AM173="Yes",AO173&gt;=50,OR(X173="No",X173=""),OR(E173="No",V173="Yes")),"⭐ PICK","")</f>
        <v/>
      </c>
      <c r="AI173">
        <v>6.15</v>
      </c>
      <c r="AJ173">
        <v>13.97</v>
      </c>
      <c r="AK173" t="s">
        <v>6</v>
      </c>
      <c r="AL173" s="5">
        <f ca="1">IFERROR(MOD((AI173-(MOD(18.697374558+24.065709824419*(TODAY()-DATE(2000,1,1)+0.5)+$AZ$1/15,24)))/1.00273790935,24)/24,"")</f>
        <v>2.05619181438986E-2</v>
      </c>
      <c r="AM173" t="str">
        <f>IF(AO173&gt;=20,"Yes","No")</f>
        <v>Yes</v>
      </c>
      <c r="AN173" s="7" t="str">
        <f ca="1">IF(AM173="Yes",TEXT(AL173,"h:mm AM/PM"),"")</f>
        <v>12:29 AM</v>
      </c>
      <c r="AO173">
        <v>71</v>
      </c>
      <c r="AP173">
        <f>ROUND(MAX(0,MIN(10,(AO173-20)/6)),1)</f>
        <v>8.5</v>
      </c>
      <c r="AQ173" t="str">
        <f ca="1">IF(AE173="⭐ PICK","PICK at "&amp;AN173,"")</f>
        <v/>
      </c>
    </row>
    <row r="174" spans="1:43" x14ac:dyDescent="0.3">
      <c r="A174" t="s">
        <v>240</v>
      </c>
      <c r="B174" t="s">
        <v>281</v>
      </c>
      <c r="C174" t="s">
        <v>282</v>
      </c>
      <c r="D174" t="s">
        <v>109</v>
      </c>
      <c r="E174" t="s">
        <v>57</v>
      </c>
      <c r="M174" t="s">
        <v>45</v>
      </c>
      <c r="N174" t="s">
        <v>45</v>
      </c>
      <c r="O174" t="s">
        <v>45</v>
      </c>
      <c r="S174">
        <v>70</v>
      </c>
      <c r="X174" t="str">
        <f>IF(S174="", "", IF(S174&gt;78,"Yes","No"))</f>
        <v>No</v>
      </c>
      <c r="Y174" t="s">
        <v>46</v>
      </c>
      <c r="AB174">
        <f>IF(Y174="Emission Nebula",90,IF(Y174="Reflection Nebula",75,IF(Y174="Planetary Nebula",60,IF(Y174="Galaxy",90,IF(Y174="Globular Cluster",30,IF(Y174="Open Cluster",20,IF(Y174="Comet",20,IF(Y174="Planet",10,IF(Y174="Star",5,45)))))))))</f>
        <v>90</v>
      </c>
      <c r="AD174">
        <f>MAX(1,MIN(10,ROUND((IF(S174="",5,IF(S174&lt;3,2,IF(S174&lt;10,4,IF(S174&lt;=70,8,IF(S174&lt;=100,6,4))))))+IF(Y174="Emission Nebula",2,IF(Y174="Open Cluster",2,IF(Y174="Globular Cluster",2,IF(Y174="Reflection Nebula",1,IF(Y174="Planetary Nebula",1,IF(Y174="Comet",1,0))))))+IF(Z174="High (easy)",2,IF(Z174="Medium",1,IF(Z174="Low (hard)",-1,0)))+IF(AA174="High (OK with Moon)",2,IF(AA174="Medium",0,IF(AA174="Low (needs dark)",-2,0)))+IF(AC174="High (best &gt;50°)",1,IF(AC174="Medium",0,IF(AC174="Low (OK)",-1,0))),0)))</f>
        <v>10</v>
      </c>
      <c r="AE174" t="str">
        <f ca="1">IF(AND(CHOOSE(MONTH(TODAY()),G174,H174,I174,J174,K174,L174,M174,N174,O174,P174,Q174,R174)="✔",AD174&gt;=7,AM174="Yes",AO174&gt;=50,OR(X174="No",X174=""),OR(E174="No",V174="Yes")),"⭐ PICK","")</f>
        <v/>
      </c>
      <c r="AI174">
        <v>6.15</v>
      </c>
      <c r="AJ174">
        <v>20.399999999999999</v>
      </c>
      <c r="AK174" t="s">
        <v>6</v>
      </c>
      <c r="AL174" s="5">
        <f ca="1">IFERROR(MOD((AI174-(MOD(18.697374558+24.065709824419*(TODAY()-DATE(2000,1,1)+0.5)+$AZ$1/15,24)))/1.00273790935,24)/24,"")</f>
        <v>2.05619181438986E-2</v>
      </c>
      <c r="AM174" t="str">
        <f>IF(AO174&gt;=20,"Yes","No")</f>
        <v>Yes</v>
      </c>
      <c r="AN174" s="7" t="str">
        <f ca="1">IF(AM174="Yes",TEXT(AL174,"h:mm AM/PM"),"")</f>
        <v>12:29 AM</v>
      </c>
      <c r="AO174">
        <v>77.400000000000006</v>
      </c>
      <c r="AP174">
        <f>ROUND(MAX(0,MIN(10,(AO174-20)/6)),1)</f>
        <v>9.6</v>
      </c>
      <c r="AQ174" t="str">
        <f ca="1">IF(AE174="⭐ PICK","PICK at "&amp;AN174,"")</f>
        <v/>
      </c>
    </row>
    <row r="175" spans="1:43" x14ac:dyDescent="0.3">
      <c r="A175" t="s">
        <v>240</v>
      </c>
      <c r="B175" t="s">
        <v>335</v>
      </c>
      <c r="C175" t="s">
        <v>336</v>
      </c>
      <c r="D175" t="s">
        <v>395</v>
      </c>
      <c r="E175" t="s">
        <v>57</v>
      </c>
      <c r="G175" t="s">
        <v>45</v>
      </c>
      <c r="H175" t="s">
        <v>45</v>
      </c>
      <c r="I175" t="s">
        <v>45</v>
      </c>
      <c r="S175">
        <v>90</v>
      </c>
      <c r="T175">
        <v>180</v>
      </c>
      <c r="V175" t="s">
        <v>57</v>
      </c>
      <c r="W175">
        <v>3</v>
      </c>
      <c r="X175" t="s">
        <v>44</v>
      </c>
      <c r="Y175" t="s">
        <v>46</v>
      </c>
      <c r="Z175" t="s">
        <v>389</v>
      </c>
      <c r="AA175" t="s">
        <v>48</v>
      </c>
      <c r="AB175">
        <v>180</v>
      </c>
      <c r="AD175">
        <v>5</v>
      </c>
      <c r="AE175" t="str">
        <f ca="1">IF(AND(CHOOSE(MONTH(TODAY()),G175,H175,I175,J175,K175,L175,M175,N175,O175,P175,Q175,R175)="✔",AD175&gt;=7,AM175="Yes",AO175&gt;=50,OR(X175="No",X175=""),OR(E175="No",V175="Yes")),"⭐ PICK","")</f>
        <v/>
      </c>
      <c r="AG175" t="s">
        <v>12</v>
      </c>
      <c r="AH175" t="s">
        <v>12</v>
      </c>
      <c r="AI175">
        <v>20.966699999999999</v>
      </c>
      <c r="AJ175" s="3">
        <v>44.332999999999998</v>
      </c>
      <c r="AK175" t="s">
        <v>12</v>
      </c>
      <c r="AL175" s="5">
        <f ca="1">IFERROR(MOD((AI175-(MOD(18.697374558+24.065709824419*(TODAY()-DATE(2000,1,1)+0.5)+$AZ$1/15,24)))/1.00273790935,24)/24,"")</f>
        <v>0.63623875078722603</v>
      </c>
      <c r="AM175" t="str">
        <f>IF(AO175&gt;=20,"Yes","No")</f>
        <v>Yes</v>
      </c>
      <c r="AN175" s="7" t="str">
        <f ca="1">IF(AM175="Yes",TEXT(AL175,"h:mm AM/PM"),"")</f>
        <v>3:16 PM</v>
      </c>
      <c r="AO175" s="3">
        <v>70</v>
      </c>
      <c r="AP175">
        <f>ROUND(MAX(0,MIN(10,(AO175-20)/6)),1)</f>
        <v>8.3000000000000007</v>
      </c>
      <c r="AQ175" t="str">
        <f ca="1">IF(AE175="⭐ PICK","PICK at "&amp;AN175,"")</f>
        <v/>
      </c>
    </row>
    <row r="176" spans="1:43" x14ac:dyDescent="0.3">
      <c r="A176" t="s">
        <v>240</v>
      </c>
      <c r="B176" t="s">
        <v>283</v>
      </c>
      <c r="C176" t="s">
        <v>197</v>
      </c>
      <c r="D176" t="s">
        <v>115</v>
      </c>
      <c r="E176" t="s">
        <v>57</v>
      </c>
      <c r="N176" t="s">
        <v>45</v>
      </c>
      <c r="O176" t="s">
        <v>45</v>
      </c>
      <c r="P176" t="s">
        <v>45</v>
      </c>
      <c r="Q176" t="s">
        <v>45</v>
      </c>
      <c r="S176">
        <v>10</v>
      </c>
      <c r="X176" t="str">
        <f>IF(S176="", "", IF(S176&gt;78,"Yes","No"))</f>
        <v>No</v>
      </c>
      <c r="Y176" t="s">
        <v>197</v>
      </c>
      <c r="AB176">
        <f>IF(Y176="Emission Nebula",90,IF(Y176="Reflection Nebula",75,IF(Y176="Planetary Nebula",60,IF(Y176="Galaxy",90,IF(Y176="Globular Cluster",30,IF(Y176="Open Cluster",20,IF(Y176="Comet",20,IF(Y176="Planet",10,IF(Y176="Star",5,45)))))))))</f>
        <v>75</v>
      </c>
      <c r="AD176">
        <f>MAX(1,MIN(10,ROUND((IF(S176="",5,IF(S176&lt;3,2,IF(S176&lt;10,4,IF(S176&lt;=70,8,IF(S176&lt;=100,6,4))))))+IF(Y176="Emission Nebula",2,IF(Y176="Open Cluster",2,IF(Y176="Globular Cluster",2,IF(Y176="Reflection Nebula",1,IF(Y176="Planetary Nebula",1,IF(Y176="Comet",1,0))))))+IF(Z176="High (easy)",2,IF(Z176="Medium",1,IF(Z176="Low (hard)",-1,0)))+IF(AA176="High (OK with Moon)",2,IF(AA176="Medium",0,IF(AA176="Low (needs dark)",-2,0)))+IF(AC176="High (best &gt;50°)",1,IF(AC176="Medium",0,IF(AC176="Low (OK)",-1,0))),0)))</f>
        <v>9</v>
      </c>
      <c r="AE176" t="str">
        <f ca="1">IF(AND(CHOOSE(MONTH(TODAY()),G176,H176,I176,J176,K176,L176,M176,N176,O176,P176,Q176,R176)="✔",AD176&gt;=7,AM176="Yes",AO176&gt;=50,OR(X176="No",X176=""),OR(E176="No",V176="Yes")),"⭐ PICK","")</f>
        <v/>
      </c>
      <c r="AI176">
        <v>6.68</v>
      </c>
      <c r="AJ176">
        <v>9.9</v>
      </c>
      <c r="AK176" t="s">
        <v>6</v>
      </c>
      <c r="AL176" s="5">
        <f ca="1">IFERROR(MOD((AI176-(MOD(18.697374558+24.065709824419*(TODAY()-DATE(2000,1,1)+0.5)+$AZ$1/15,24)))/1.00273790935,24)/24,"")</f>
        <v>4.2584954400349984E-2</v>
      </c>
      <c r="AM176" t="str">
        <f>IF(AO176&gt;=20,"Yes","No")</f>
        <v>Yes</v>
      </c>
      <c r="AN176" s="7" t="str">
        <f ca="1">IF(AM176="Yes",TEXT(AL176,"h:mm AM/PM"),"")</f>
        <v>1:01 AM</v>
      </c>
      <c r="AO176">
        <v>66.900000000000006</v>
      </c>
      <c r="AP176">
        <f>ROUND(MAX(0,MIN(10,(AO176-20)/6)),1)</f>
        <v>7.8</v>
      </c>
      <c r="AQ176" t="str">
        <f ca="1">IF(AE176="⭐ PICK","PICK at "&amp;AN176,"")</f>
        <v/>
      </c>
    </row>
    <row r="177" spans="1:43" x14ac:dyDescent="0.3">
      <c r="A177" t="s">
        <v>240</v>
      </c>
      <c r="B177" t="s">
        <v>284</v>
      </c>
      <c r="C177" t="s">
        <v>285</v>
      </c>
      <c r="D177" t="s">
        <v>286</v>
      </c>
      <c r="E177" t="s">
        <v>57</v>
      </c>
      <c r="O177" t="s">
        <v>45</v>
      </c>
      <c r="P177" t="s">
        <v>45</v>
      </c>
      <c r="Q177" t="s">
        <v>45</v>
      </c>
      <c r="S177">
        <v>5</v>
      </c>
      <c r="X177" t="str">
        <f>IF(S177="", "", IF(S177&gt;78,"Yes","No"))</f>
        <v>No</v>
      </c>
      <c r="Y177" t="s">
        <v>116</v>
      </c>
      <c r="AB177">
        <f>IF(Y177="Emission Nebula",90,IF(Y177="Reflection Nebula",75,IF(Y177="Planetary Nebula",60,IF(Y177="Galaxy",90,IF(Y177="Globular Cluster",30,IF(Y177="Open Cluster",20,IF(Y177="Comet",20,IF(Y177="Planet",10,IF(Y177="Star",5,45)))))))))</f>
        <v>90</v>
      </c>
      <c r="AD177">
        <f>MAX(1,MIN(10,ROUND((IF(S177="",5,IF(S177&lt;3,2,IF(S177&lt;10,4,IF(S177&lt;=70,8,IF(S177&lt;=100,6,4))))))+IF(Y177="Emission Nebula",2,IF(Y177="Open Cluster",2,IF(Y177="Globular Cluster",2,IF(Y177="Reflection Nebula",1,IF(Y177="Planetary Nebula",1,IF(Y177="Comet",1,0))))))+IF(Z177="High (easy)",2,IF(Z177="Medium",1,IF(Z177="Low (hard)",-1,0)))+IF(AA177="High (OK with Moon)",2,IF(AA177="Medium",0,IF(AA177="Low (needs dark)",-2,0)))+IF(AC177="High (best &gt;50°)",1,IF(AC177="Medium",0,IF(AC177="Low (OK)",-1,0))),0)))</f>
        <v>4</v>
      </c>
      <c r="AE177" t="str">
        <f ca="1">IF(AND(CHOOSE(MONTH(TODAY()),G177,H177,I177,J177,K177,L177,M177,N177,O177,P177,Q177,R177)="✔",AD177&gt;=7,AM177="Yes",AO177&gt;=50,OR(X177="No",X177=""),OR(E177="No",V177="Yes")),"⭐ PICK","")</f>
        <v/>
      </c>
      <c r="AI177">
        <v>6.62</v>
      </c>
      <c r="AJ177">
        <v>9.57</v>
      </c>
      <c r="AK177" t="s">
        <v>6</v>
      </c>
      <c r="AL177" s="5">
        <f ca="1">IFERROR(MOD((AI177-(MOD(18.697374558+24.065709824419*(TODAY()-DATE(2000,1,1)+0.5)+$AZ$1/15,24)))/1.00273790935,24)/24,"")</f>
        <v>4.0091780484525309E-2</v>
      </c>
      <c r="AM177" t="str">
        <f>IF(AO177&gt;=20,"Yes","No")</f>
        <v>Yes</v>
      </c>
      <c r="AN177" s="7" t="str">
        <f ca="1">IF(AM177="Yes",TEXT(AL177,"h:mm AM/PM"),"")</f>
        <v>12:57 AM</v>
      </c>
      <c r="AO177">
        <v>66.599999999999994</v>
      </c>
      <c r="AP177">
        <f>ROUND(MAX(0,MIN(10,(AO177-20)/6)),1)</f>
        <v>7.8</v>
      </c>
      <c r="AQ177" t="str">
        <f ca="1">IF(AE177="⭐ PICK","PICK at "&amp;AN177,"")</f>
        <v/>
      </c>
    </row>
    <row r="178" spans="1:43" x14ac:dyDescent="0.3">
      <c r="A178" t="s">
        <v>240</v>
      </c>
      <c r="B178" t="s">
        <v>244</v>
      </c>
      <c r="C178" t="s">
        <v>245</v>
      </c>
      <c r="D178" t="s">
        <v>243</v>
      </c>
      <c r="E178" t="s">
        <v>57</v>
      </c>
      <c r="G178" t="s">
        <v>45</v>
      </c>
      <c r="P178" t="s">
        <v>45</v>
      </c>
      <c r="Q178" t="s">
        <v>45</v>
      </c>
      <c r="R178" t="s">
        <v>45</v>
      </c>
      <c r="S178">
        <v>30</v>
      </c>
      <c r="X178" t="str">
        <f>IF(S178="", "", IF(S178&gt;78,"Yes","No"))</f>
        <v>No</v>
      </c>
      <c r="Y178" t="s">
        <v>70</v>
      </c>
      <c r="AB178">
        <f>IF(Y178="Emission Nebula",90,IF(Y178="Reflection Nebula",75,IF(Y178="Planetary Nebula",60,IF(Y178="Galaxy",90,IF(Y178="Globular Cluster",30,IF(Y178="Open Cluster",20,IF(Y178="Comet",20,IF(Y178="Planet",10,IF(Y178="Star",5,45)))))))))</f>
        <v>20</v>
      </c>
      <c r="AD178">
        <f>MAX(1,MIN(10,ROUND((IF(S178="",5,IF(S178&lt;3,2,IF(S178&lt;10,4,IF(S178&lt;=70,8,IF(S178&lt;=100,6,4))))))+IF(Y178="Emission Nebula",2,IF(Y178="Open Cluster",2,IF(Y178="Globular Cluster",2,IF(Y178="Reflection Nebula",1,IF(Y178="Planetary Nebula",1,IF(Y178="Comet",1,0))))))+IF(Z178="High (easy)",2,IF(Z178="Medium",1,IF(Z178="Low (hard)",-1,0)))+IF(AA178="High (OK with Moon)",2,IF(AA178="Medium",0,IF(AA178="Low (needs dark)",-2,0)))+IF(AC178="High (best &gt;50°)",1,IF(AC178="Medium",0,IF(AC178="Low (OK)",-1,0))),0)))</f>
        <v>10</v>
      </c>
      <c r="AE178" t="str">
        <f ca="1">IF(AND(CHOOSE(MONTH(TODAY()),G178,H178,I178,J178,K178,L178,M178,N178,O178,P178,Q178,R178)="✔",AD178&gt;=7,AM178="Yes",AO178&gt;=50,OR(X178="No",X178=""),OR(E178="No",V178="Yes")),"⭐ PICK","")</f>
        <v/>
      </c>
      <c r="AI178">
        <v>5.37</v>
      </c>
      <c r="AJ178">
        <v>33.58</v>
      </c>
      <c r="AK178" t="s">
        <v>6</v>
      </c>
      <c r="AL178" s="5">
        <f ca="1">IFERROR(MOD((AI178-(MOD(18.697374558+24.065709824419*(TODAY()-DATE(2000,1,1)+0.5)+$AZ$1/15,24)))/1.00273790935,24)/24,"")</f>
        <v>0.98815065723817763</v>
      </c>
      <c r="AM178" t="str">
        <f>IF(AO178&gt;=20,"Yes","No")</f>
        <v>Yes</v>
      </c>
      <c r="AN178" s="7" t="str">
        <f ca="1">IF(AM178="Yes",TEXT(AL178,"h:mm AM/PM"),"")</f>
        <v>11:42 PM</v>
      </c>
      <c r="AO178">
        <v>89</v>
      </c>
      <c r="AP178">
        <f>ROUND(MAX(0,MIN(10,(AO178-20)/6)),1)</f>
        <v>10</v>
      </c>
      <c r="AQ178" t="str">
        <f ca="1">IF(AE178="⭐ PICK","PICK at "&amp;AN178,"")</f>
        <v/>
      </c>
    </row>
    <row r="179" spans="1:43" x14ac:dyDescent="0.3">
      <c r="B179" t="s">
        <v>409</v>
      </c>
      <c r="E179" t="s">
        <v>44</v>
      </c>
    </row>
  </sheetData>
  <autoFilter ref="A1:AE162" xr:uid="{00000000-0009-0000-0000-000000000000}">
    <filterColumn colId="4">
      <filters>
        <filter val="No"/>
      </filters>
    </filterColumn>
    <sortState xmlns:xlrd2="http://schemas.microsoft.com/office/spreadsheetml/2017/richdata2" ref="A2:AE154">
      <sortCondition ref="B1:B154"/>
    </sortState>
  </autoFilter>
  <sortState xmlns:xlrd2="http://schemas.microsoft.com/office/spreadsheetml/2017/richdata2" ref="A3:AQ178">
    <sortCondition ref="B3:B178"/>
  </sortState>
  <pageMargins left="0.75" right="0.75" top="1" bottom="1" header="0.5" footer="0.5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83"/>
  <sheetViews>
    <sheetView workbookViewId="0">
      <pane ySplit="1" topLeftCell="A2" activePane="bottomLeft" state="frozen"/>
      <selection pane="bottomLeft"/>
    </sheetView>
  </sheetViews>
  <sheetFormatPr defaultRowHeight="14.4" x14ac:dyDescent="0.3"/>
  <sheetData>
    <row r="1" spans="1:31" ht="86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3">
      <c r="A2" t="s">
        <v>40</v>
      </c>
      <c r="B2" t="s">
        <v>41</v>
      </c>
      <c r="C2" t="s">
        <v>42</v>
      </c>
      <c r="D2" t="s">
        <v>43</v>
      </c>
      <c r="E2" t="s">
        <v>44</v>
      </c>
      <c r="G2" t="s">
        <v>45</v>
      </c>
      <c r="H2" t="s">
        <v>45</v>
      </c>
      <c r="I2" t="s">
        <v>45</v>
      </c>
      <c r="J2" t="s">
        <v>45</v>
      </c>
      <c r="R2" t="s">
        <v>45</v>
      </c>
      <c r="Y2" t="s">
        <v>46</v>
      </c>
      <c r="AB2">
        <f t="shared" ref="AB2:AB33" si="0">IF(Y2="Emission Nebula",90,IF(Y2="Reflection Nebula",75,IF(Y2="Planetary Nebula",60,IF(Y2="Galaxy",90,IF(Y2="Globular Cluster",30,IF(Y2="Open Cluster",20,IF(Y2="Comet",20,IF(Y2="Planet",10,IF(Y2="Star",5,45)))))))))</f>
        <v>90</v>
      </c>
      <c r="AD2">
        <f t="shared" ref="AD2:AD33" si="1">MAX(1,MIN(10,ROUND((IF(S2="",5,IF(S2&lt;3,2,IF(S2&lt;10,4,IF(S2&lt;=70,8,IF(S2&lt;=100,6,4))))))+IF(Y2="Emission Nebula",2,IF(Y2="Open Cluster",2,IF(Y2="Globular Cluster",2,IF(Y2="Reflection Nebula",1,IF(Y2="Planetary Nebula",1,IF(Y2="Comet",1,0))))))+IF(Z2="High (easy)",2,IF(Z2="Medium",1,IF(Z2="Low (hard)",-1,0)))+IF(AA2="High (OK with Moon)",2,IF(AA2="Medium",0,IF(AA2="Low (needs dark)",-2,0)))+IF(AC2="High (best &gt;50°)",1,IF(AC2="Medium",0,IF(AC2="Low (OK)",-1,0))),0)))</f>
        <v>7</v>
      </c>
      <c r="AE2" t="str">
        <f t="shared" ref="AE2:AE33" si="2">IF(AND(G2="✔",AD2&gt;=7,OR(V2&lt;&gt;"No",V2=""),OR(X2="No",X2="")),"⭐ PICK","")</f>
        <v>⭐ PICK</v>
      </c>
    </row>
    <row r="3" spans="1:31" x14ac:dyDescent="0.3">
      <c r="A3" t="s">
        <v>40</v>
      </c>
      <c r="B3" t="s">
        <v>53</v>
      </c>
      <c r="C3" t="s">
        <v>54</v>
      </c>
      <c r="D3" t="s">
        <v>55</v>
      </c>
      <c r="E3" t="s">
        <v>44</v>
      </c>
      <c r="M3" t="s">
        <v>45</v>
      </c>
      <c r="N3" t="s">
        <v>45</v>
      </c>
      <c r="O3" t="s">
        <v>45</v>
      </c>
      <c r="P3" t="s">
        <v>45</v>
      </c>
      <c r="Q3" t="s">
        <v>45</v>
      </c>
      <c r="Y3" t="s">
        <v>54</v>
      </c>
      <c r="AB3">
        <f t="shared" si="0"/>
        <v>30</v>
      </c>
      <c r="AD3">
        <f t="shared" si="1"/>
        <v>7</v>
      </c>
      <c r="AE3" t="str">
        <f t="shared" si="2"/>
        <v/>
      </c>
    </row>
    <row r="4" spans="1:31" x14ac:dyDescent="0.3">
      <c r="A4" t="s">
        <v>40</v>
      </c>
      <c r="B4" t="s">
        <v>63</v>
      </c>
      <c r="C4" t="s">
        <v>54</v>
      </c>
      <c r="D4" t="s">
        <v>60</v>
      </c>
      <c r="E4" t="s">
        <v>44</v>
      </c>
      <c r="J4" t="s">
        <v>45</v>
      </c>
      <c r="K4" t="s">
        <v>45</v>
      </c>
      <c r="L4" t="s">
        <v>45</v>
      </c>
      <c r="M4" t="s">
        <v>45</v>
      </c>
      <c r="N4" t="s">
        <v>45</v>
      </c>
      <c r="Y4" t="s">
        <v>54</v>
      </c>
      <c r="AB4">
        <f t="shared" si="0"/>
        <v>30</v>
      </c>
      <c r="AD4">
        <f t="shared" si="1"/>
        <v>7</v>
      </c>
      <c r="AE4" t="str">
        <f t="shared" si="2"/>
        <v/>
      </c>
    </row>
    <row r="5" spans="1:31" x14ac:dyDescent="0.3">
      <c r="A5" t="s">
        <v>40</v>
      </c>
      <c r="B5" t="s">
        <v>65</v>
      </c>
      <c r="C5" t="s">
        <v>54</v>
      </c>
      <c r="D5" t="s">
        <v>60</v>
      </c>
      <c r="E5" t="s">
        <v>44</v>
      </c>
      <c r="J5" t="s">
        <v>45</v>
      </c>
      <c r="K5" t="s">
        <v>45</v>
      </c>
      <c r="L5" t="s">
        <v>45</v>
      </c>
      <c r="M5" t="s">
        <v>45</v>
      </c>
      <c r="N5" t="s">
        <v>45</v>
      </c>
      <c r="Y5" t="s">
        <v>54</v>
      </c>
      <c r="AB5">
        <f t="shared" si="0"/>
        <v>30</v>
      </c>
      <c r="AD5">
        <f t="shared" si="1"/>
        <v>7</v>
      </c>
      <c r="AE5" t="str">
        <f t="shared" si="2"/>
        <v/>
      </c>
    </row>
    <row r="6" spans="1:31" x14ac:dyDescent="0.3">
      <c r="A6" t="s">
        <v>40</v>
      </c>
      <c r="B6" t="s">
        <v>74</v>
      </c>
      <c r="C6" t="s">
        <v>75</v>
      </c>
      <c r="D6" t="s">
        <v>76</v>
      </c>
      <c r="E6" t="s">
        <v>44</v>
      </c>
      <c r="K6" t="s">
        <v>45</v>
      </c>
      <c r="L6" t="s">
        <v>45</v>
      </c>
      <c r="M6" t="s">
        <v>45</v>
      </c>
      <c r="N6" t="s">
        <v>45</v>
      </c>
      <c r="O6" t="s">
        <v>45</v>
      </c>
      <c r="Y6" t="s">
        <v>46</v>
      </c>
      <c r="AB6">
        <f t="shared" si="0"/>
        <v>90</v>
      </c>
      <c r="AD6">
        <f t="shared" si="1"/>
        <v>7</v>
      </c>
      <c r="AE6" t="str">
        <f t="shared" si="2"/>
        <v/>
      </c>
    </row>
    <row r="7" spans="1:31" x14ac:dyDescent="0.3">
      <c r="A7" t="s">
        <v>40</v>
      </c>
      <c r="B7" t="s">
        <v>81</v>
      </c>
      <c r="C7" t="s">
        <v>82</v>
      </c>
      <c r="D7" t="s">
        <v>76</v>
      </c>
      <c r="E7" t="s">
        <v>44</v>
      </c>
      <c r="K7" t="s">
        <v>45</v>
      </c>
      <c r="L7" t="s">
        <v>45</v>
      </c>
      <c r="M7" t="s">
        <v>45</v>
      </c>
      <c r="N7" t="s">
        <v>45</v>
      </c>
      <c r="O7" t="s">
        <v>45</v>
      </c>
      <c r="Y7" t="s">
        <v>70</v>
      </c>
      <c r="AB7">
        <f t="shared" si="0"/>
        <v>20</v>
      </c>
      <c r="AD7">
        <f t="shared" si="1"/>
        <v>7</v>
      </c>
      <c r="AE7" t="str">
        <f t="shared" si="2"/>
        <v/>
      </c>
    </row>
    <row r="8" spans="1:31" x14ac:dyDescent="0.3">
      <c r="A8" t="s">
        <v>40</v>
      </c>
      <c r="B8" t="s">
        <v>85</v>
      </c>
      <c r="C8" t="s">
        <v>86</v>
      </c>
      <c r="D8" t="s">
        <v>60</v>
      </c>
      <c r="E8" t="s">
        <v>44</v>
      </c>
      <c r="J8" t="s">
        <v>45</v>
      </c>
      <c r="K8" t="s">
        <v>45</v>
      </c>
      <c r="L8" t="s">
        <v>45</v>
      </c>
      <c r="M8" t="s">
        <v>45</v>
      </c>
      <c r="N8" t="s">
        <v>45</v>
      </c>
      <c r="AB8">
        <f t="shared" si="0"/>
        <v>45</v>
      </c>
      <c r="AD8">
        <f t="shared" si="1"/>
        <v>5</v>
      </c>
      <c r="AE8" t="str">
        <f t="shared" si="2"/>
        <v/>
      </c>
    </row>
    <row r="9" spans="1:31" x14ac:dyDescent="0.3">
      <c r="A9" t="s">
        <v>40</v>
      </c>
      <c r="B9" t="s">
        <v>90</v>
      </c>
      <c r="C9" t="s">
        <v>91</v>
      </c>
      <c r="D9" t="s">
        <v>76</v>
      </c>
      <c r="E9" t="s">
        <v>44</v>
      </c>
      <c r="K9" t="s">
        <v>45</v>
      </c>
      <c r="L9" t="s">
        <v>45</v>
      </c>
      <c r="M9" t="s">
        <v>45</v>
      </c>
      <c r="N9" t="s">
        <v>45</v>
      </c>
      <c r="O9" t="s">
        <v>45</v>
      </c>
      <c r="Y9" t="s">
        <v>46</v>
      </c>
      <c r="AB9">
        <f t="shared" si="0"/>
        <v>90</v>
      </c>
      <c r="AD9">
        <f t="shared" si="1"/>
        <v>7</v>
      </c>
      <c r="AE9" t="str">
        <f t="shared" si="2"/>
        <v/>
      </c>
    </row>
    <row r="10" spans="1:31" x14ac:dyDescent="0.3">
      <c r="A10" t="s">
        <v>40</v>
      </c>
      <c r="B10" t="s">
        <v>92</v>
      </c>
      <c r="C10" t="s">
        <v>93</v>
      </c>
      <c r="D10" t="s">
        <v>76</v>
      </c>
      <c r="E10" t="s">
        <v>44</v>
      </c>
      <c r="K10" t="s">
        <v>45</v>
      </c>
      <c r="L10" t="s">
        <v>45</v>
      </c>
      <c r="M10" t="s">
        <v>45</v>
      </c>
      <c r="N10" t="s">
        <v>45</v>
      </c>
      <c r="O10" t="s">
        <v>45</v>
      </c>
      <c r="Y10" t="s">
        <v>46</v>
      </c>
      <c r="AB10">
        <f t="shared" si="0"/>
        <v>90</v>
      </c>
      <c r="AD10">
        <f t="shared" si="1"/>
        <v>7</v>
      </c>
      <c r="AE10" t="str">
        <f t="shared" si="2"/>
        <v/>
      </c>
    </row>
    <row r="11" spans="1:31" x14ac:dyDescent="0.3">
      <c r="A11" t="s">
        <v>40</v>
      </c>
      <c r="B11" t="s">
        <v>107</v>
      </c>
      <c r="C11" t="s">
        <v>108</v>
      </c>
      <c r="D11" t="s">
        <v>109</v>
      </c>
      <c r="E11" t="s">
        <v>44</v>
      </c>
      <c r="L11" t="s">
        <v>45</v>
      </c>
      <c r="M11" t="s">
        <v>45</v>
      </c>
      <c r="N11" t="s">
        <v>45</v>
      </c>
      <c r="O11" t="s">
        <v>45</v>
      </c>
      <c r="P11" t="s">
        <v>45</v>
      </c>
      <c r="Y11" t="s">
        <v>46</v>
      </c>
      <c r="AB11">
        <f t="shared" si="0"/>
        <v>90</v>
      </c>
      <c r="AD11">
        <f t="shared" si="1"/>
        <v>7</v>
      </c>
      <c r="AE11" t="str">
        <f t="shared" si="2"/>
        <v/>
      </c>
    </row>
    <row r="12" spans="1:31" x14ac:dyDescent="0.3">
      <c r="A12" t="s">
        <v>40</v>
      </c>
      <c r="B12" t="s">
        <v>113</v>
      </c>
      <c r="C12" t="s">
        <v>114</v>
      </c>
      <c r="D12" t="s">
        <v>115</v>
      </c>
      <c r="E12" t="s">
        <v>44</v>
      </c>
      <c r="M12" t="s">
        <v>45</v>
      </c>
      <c r="N12" t="s">
        <v>45</v>
      </c>
      <c r="O12" t="s">
        <v>45</v>
      </c>
      <c r="P12" t="s">
        <v>45</v>
      </c>
      <c r="Q12" t="s">
        <v>45</v>
      </c>
      <c r="R12" t="s">
        <v>45</v>
      </c>
      <c r="S12">
        <v>190</v>
      </c>
      <c r="W12">
        <v>3</v>
      </c>
      <c r="X12" t="s">
        <v>44</v>
      </c>
      <c r="Y12" t="s">
        <v>116</v>
      </c>
      <c r="AB12">
        <f t="shared" si="0"/>
        <v>90</v>
      </c>
      <c r="AD12">
        <f t="shared" si="1"/>
        <v>4</v>
      </c>
      <c r="AE12" t="str">
        <f t="shared" si="2"/>
        <v/>
      </c>
    </row>
    <row r="13" spans="1:31" x14ac:dyDescent="0.3">
      <c r="A13" t="s">
        <v>40</v>
      </c>
      <c r="B13" t="s">
        <v>118</v>
      </c>
      <c r="C13" t="s">
        <v>119</v>
      </c>
      <c r="D13" t="s">
        <v>115</v>
      </c>
      <c r="E13" t="s">
        <v>44</v>
      </c>
      <c r="M13" t="s">
        <v>45</v>
      </c>
      <c r="N13" t="s">
        <v>45</v>
      </c>
      <c r="O13" t="s">
        <v>45</v>
      </c>
      <c r="P13" t="s">
        <v>45</v>
      </c>
      <c r="Q13" t="s">
        <v>45</v>
      </c>
      <c r="R13" t="s">
        <v>45</v>
      </c>
      <c r="AB13">
        <f t="shared" si="0"/>
        <v>45</v>
      </c>
      <c r="AD13">
        <f t="shared" si="1"/>
        <v>5</v>
      </c>
      <c r="AE13" t="str">
        <f t="shared" si="2"/>
        <v/>
      </c>
    </row>
    <row r="14" spans="1:31" x14ac:dyDescent="0.3">
      <c r="A14" t="s">
        <v>40</v>
      </c>
      <c r="B14" t="s">
        <v>120</v>
      </c>
      <c r="C14" t="s">
        <v>121</v>
      </c>
      <c r="D14" t="s">
        <v>115</v>
      </c>
      <c r="E14" t="s">
        <v>44</v>
      </c>
      <c r="M14" t="s">
        <v>45</v>
      </c>
      <c r="N14" t="s">
        <v>45</v>
      </c>
      <c r="O14" t="s">
        <v>45</v>
      </c>
      <c r="P14" t="s">
        <v>45</v>
      </c>
      <c r="Q14" t="s">
        <v>45</v>
      </c>
      <c r="R14" t="s">
        <v>45</v>
      </c>
      <c r="Y14" t="s">
        <v>116</v>
      </c>
      <c r="AB14">
        <f t="shared" si="0"/>
        <v>90</v>
      </c>
      <c r="AD14">
        <f t="shared" si="1"/>
        <v>5</v>
      </c>
      <c r="AE14" t="str">
        <f t="shared" si="2"/>
        <v/>
      </c>
    </row>
    <row r="15" spans="1:31" x14ac:dyDescent="0.3">
      <c r="A15" t="s">
        <v>40</v>
      </c>
      <c r="B15" t="s">
        <v>122</v>
      </c>
      <c r="C15" t="s">
        <v>70</v>
      </c>
      <c r="D15" t="s">
        <v>123</v>
      </c>
      <c r="E15" t="s">
        <v>44</v>
      </c>
      <c r="G15" t="s">
        <v>45</v>
      </c>
      <c r="H15" t="s">
        <v>45</v>
      </c>
      <c r="O15" t="s">
        <v>45</v>
      </c>
      <c r="P15" t="s">
        <v>45</v>
      </c>
      <c r="Q15" t="s">
        <v>45</v>
      </c>
      <c r="R15" t="s">
        <v>45</v>
      </c>
      <c r="Y15" t="s">
        <v>70</v>
      </c>
      <c r="AB15">
        <f t="shared" si="0"/>
        <v>20</v>
      </c>
      <c r="AD15">
        <f t="shared" si="1"/>
        <v>7</v>
      </c>
      <c r="AE15" t="str">
        <f t="shared" si="2"/>
        <v>⭐ PICK</v>
      </c>
    </row>
    <row r="16" spans="1:31" x14ac:dyDescent="0.3">
      <c r="A16" t="s">
        <v>40</v>
      </c>
      <c r="B16" t="s">
        <v>124</v>
      </c>
      <c r="C16" t="s">
        <v>70</v>
      </c>
      <c r="D16" t="s">
        <v>125</v>
      </c>
      <c r="E16" t="s">
        <v>44</v>
      </c>
      <c r="G16" t="s">
        <v>45</v>
      </c>
      <c r="H16" t="s">
        <v>45</v>
      </c>
      <c r="I16" t="s">
        <v>45</v>
      </c>
      <c r="Q16" t="s">
        <v>45</v>
      </c>
      <c r="R16" t="s">
        <v>45</v>
      </c>
      <c r="Y16" t="s">
        <v>70</v>
      </c>
      <c r="AB16">
        <f t="shared" si="0"/>
        <v>20</v>
      </c>
      <c r="AD16">
        <f t="shared" si="1"/>
        <v>7</v>
      </c>
      <c r="AE16" t="str">
        <f t="shared" si="2"/>
        <v>⭐ PICK</v>
      </c>
    </row>
    <row r="17" spans="1:31" x14ac:dyDescent="0.3">
      <c r="A17" t="s">
        <v>40</v>
      </c>
      <c r="B17" t="s">
        <v>126</v>
      </c>
      <c r="C17" t="s">
        <v>70</v>
      </c>
      <c r="D17" t="s">
        <v>125</v>
      </c>
      <c r="E17" t="s">
        <v>44</v>
      </c>
      <c r="G17" t="s">
        <v>45</v>
      </c>
      <c r="H17" t="s">
        <v>45</v>
      </c>
      <c r="I17" t="s">
        <v>45</v>
      </c>
      <c r="Q17" t="s">
        <v>45</v>
      </c>
      <c r="R17" t="s">
        <v>45</v>
      </c>
      <c r="Y17" t="s">
        <v>70</v>
      </c>
      <c r="AB17">
        <f t="shared" si="0"/>
        <v>20</v>
      </c>
      <c r="AD17">
        <f t="shared" si="1"/>
        <v>7</v>
      </c>
      <c r="AE17" t="str">
        <f t="shared" si="2"/>
        <v>⭐ PICK</v>
      </c>
    </row>
    <row r="18" spans="1:31" x14ac:dyDescent="0.3">
      <c r="A18" t="s">
        <v>40</v>
      </c>
      <c r="B18" t="s">
        <v>127</v>
      </c>
      <c r="C18" t="s">
        <v>70</v>
      </c>
      <c r="D18" t="s">
        <v>125</v>
      </c>
      <c r="E18" t="s">
        <v>44</v>
      </c>
      <c r="G18" t="s">
        <v>45</v>
      </c>
      <c r="H18" t="s">
        <v>45</v>
      </c>
      <c r="I18" t="s">
        <v>45</v>
      </c>
      <c r="Q18" t="s">
        <v>45</v>
      </c>
      <c r="R18" t="s">
        <v>45</v>
      </c>
      <c r="Y18" t="s">
        <v>70</v>
      </c>
      <c r="AB18">
        <f t="shared" si="0"/>
        <v>20</v>
      </c>
      <c r="AD18">
        <f t="shared" si="1"/>
        <v>7</v>
      </c>
      <c r="AE18" t="str">
        <f t="shared" si="2"/>
        <v>⭐ PICK</v>
      </c>
    </row>
    <row r="19" spans="1:31" x14ac:dyDescent="0.3">
      <c r="A19" t="s">
        <v>40</v>
      </c>
      <c r="B19" t="s">
        <v>128</v>
      </c>
      <c r="C19" t="s">
        <v>70</v>
      </c>
      <c r="D19" t="s">
        <v>125</v>
      </c>
      <c r="E19" t="s">
        <v>44</v>
      </c>
      <c r="G19" t="s">
        <v>45</v>
      </c>
      <c r="H19" t="s">
        <v>45</v>
      </c>
      <c r="I19" t="s">
        <v>45</v>
      </c>
      <c r="Q19" t="s">
        <v>45</v>
      </c>
      <c r="R19" t="s">
        <v>45</v>
      </c>
      <c r="Y19" t="s">
        <v>70</v>
      </c>
      <c r="AB19">
        <f t="shared" si="0"/>
        <v>20</v>
      </c>
      <c r="AD19">
        <f t="shared" si="1"/>
        <v>7</v>
      </c>
      <c r="AE19" t="str">
        <f t="shared" si="2"/>
        <v>⭐ PICK</v>
      </c>
    </row>
    <row r="20" spans="1:31" x14ac:dyDescent="0.3">
      <c r="A20" t="s">
        <v>40</v>
      </c>
      <c r="B20" t="s">
        <v>130</v>
      </c>
      <c r="C20" t="s">
        <v>131</v>
      </c>
      <c r="D20" t="s">
        <v>132</v>
      </c>
      <c r="E20" t="s">
        <v>44</v>
      </c>
      <c r="AB20">
        <f t="shared" si="0"/>
        <v>45</v>
      </c>
      <c r="AD20">
        <f t="shared" si="1"/>
        <v>5</v>
      </c>
      <c r="AE20" t="str">
        <f t="shared" si="2"/>
        <v/>
      </c>
    </row>
    <row r="21" spans="1:31" x14ac:dyDescent="0.3">
      <c r="A21" t="s">
        <v>40</v>
      </c>
      <c r="B21" t="s">
        <v>133</v>
      </c>
      <c r="C21" t="s">
        <v>70</v>
      </c>
      <c r="D21" t="s">
        <v>125</v>
      </c>
      <c r="E21" t="s">
        <v>44</v>
      </c>
      <c r="G21" t="s">
        <v>45</v>
      </c>
      <c r="H21" t="s">
        <v>45</v>
      </c>
      <c r="I21" t="s">
        <v>45</v>
      </c>
      <c r="Q21" t="s">
        <v>45</v>
      </c>
      <c r="R21" t="s">
        <v>45</v>
      </c>
      <c r="Y21" t="s">
        <v>70</v>
      </c>
      <c r="AB21">
        <f t="shared" si="0"/>
        <v>20</v>
      </c>
      <c r="AD21">
        <f t="shared" si="1"/>
        <v>7</v>
      </c>
      <c r="AE21" t="str">
        <f t="shared" si="2"/>
        <v>⭐ PICK</v>
      </c>
    </row>
    <row r="22" spans="1:31" x14ac:dyDescent="0.3">
      <c r="A22" t="s">
        <v>40</v>
      </c>
      <c r="B22" t="s">
        <v>134</v>
      </c>
      <c r="C22" t="s">
        <v>135</v>
      </c>
      <c r="D22" t="s">
        <v>136</v>
      </c>
      <c r="E22" t="s">
        <v>44</v>
      </c>
      <c r="G22" t="s">
        <v>45</v>
      </c>
      <c r="H22" t="s">
        <v>45</v>
      </c>
      <c r="I22" t="s">
        <v>45</v>
      </c>
      <c r="J22" t="s">
        <v>45</v>
      </c>
      <c r="Q22" t="s">
        <v>45</v>
      </c>
      <c r="R22" t="s">
        <v>45</v>
      </c>
      <c r="S22">
        <v>85</v>
      </c>
      <c r="W22">
        <v>4</v>
      </c>
      <c r="X22" t="s">
        <v>44</v>
      </c>
      <c r="Y22" t="s">
        <v>46</v>
      </c>
      <c r="AB22">
        <f t="shared" si="0"/>
        <v>90</v>
      </c>
      <c r="AD22">
        <f t="shared" si="1"/>
        <v>8</v>
      </c>
      <c r="AE22" t="str">
        <f t="shared" si="2"/>
        <v/>
      </c>
    </row>
    <row r="23" spans="1:31" x14ac:dyDescent="0.3">
      <c r="A23" t="s">
        <v>40</v>
      </c>
      <c r="B23" t="s">
        <v>139</v>
      </c>
      <c r="C23" t="s">
        <v>140</v>
      </c>
      <c r="D23" t="s">
        <v>141</v>
      </c>
      <c r="E23" t="s">
        <v>44</v>
      </c>
      <c r="G23" t="s">
        <v>45</v>
      </c>
      <c r="H23" t="s">
        <v>45</v>
      </c>
      <c r="I23" t="s">
        <v>45</v>
      </c>
      <c r="J23" t="s">
        <v>45</v>
      </c>
      <c r="K23" t="s">
        <v>45</v>
      </c>
      <c r="Y23" t="s">
        <v>70</v>
      </c>
      <c r="AB23">
        <f t="shared" si="0"/>
        <v>20</v>
      </c>
      <c r="AD23">
        <f t="shared" si="1"/>
        <v>7</v>
      </c>
      <c r="AE23" t="str">
        <f t="shared" si="2"/>
        <v>⭐ PICK</v>
      </c>
    </row>
    <row r="24" spans="1:31" x14ac:dyDescent="0.3">
      <c r="A24" t="s">
        <v>40</v>
      </c>
      <c r="B24" t="s">
        <v>142</v>
      </c>
      <c r="C24" t="s">
        <v>143</v>
      </c>
      <c r="D24" t="s">
        <v>144</v>
      </c>
      <c r="E24" t="s">
        <v>44</v>
      </c>
      <c r="G24" t="s">
        <v>45</v>
      </c>
      <c r="H24" t="s">
        <v>45</v>
      </c>
      <c r="I24" t="s">
        <v>45</v>
      </c>
      <c r="P24" t="s">
        <v>45</v>
      </c>
      <c r="Q24" t="s">
        <v>45</v>
      </c>
      <c r="R24" t="s">
        <v>45</v>
      </c>
      <c r="S24">
        <v>110</v>
      </c>
      <c r="W24">
        <v>3</v>
      </c>
      <c r="X24" t="s">
        <v>44</v>
      </c>
      <c r="AB24">
        <f t="shared" si="0"/>
        <v>45</v>
      </c>
      <c r="AD24">
        <f t="shared" si="1"/>
        <v>4</v>
      </c>
      <c r="AE24" t="str">
        <f t="shared" si="2"/>
        <v/>
      </c>
    </row>
    <row r="25" spans="1:31" x14ac:dyDescent="0.3">
      <c r="A25" t="s">
        <v>40</v>
      </c>
      <c r="B25" t="s">
        <v>146</v>
      </c>
      <c r="C25" t="s">
        <v>70</v>
      </c>
      <c r="D25" t="s">
        <v>43</v>
      </c>
      <c r="E25" t="s">
        <v>44</v>
      </c>
      <c r="G25" t="s">
        <v>45</v>
      </c>
      <c r="H25" t="s">
        <v>45</v>
      </c>
      <c r="I25" t="s">
        <v>45</v>
      </c>
      <c r="J25" t="s">
        <v>45</v>
      </c>
      <c r="R25" t="s">
        <v>45</v>
      </c>
      <c r="Y25" t="s">
        <v>70</v>
      </c>
      <c r="AB25">
        <f t="shared" si="0"/>
        <v>20</v>
      </c>
      <c r="AD25">
        <f t="shared" si="1"/>
        <v>7</v>
      </c>
      <c r="AE25" t="str">
        <f t="shared" si="2"/>
        <v>⭐ PICK</v>
      </c>
    </row>
    <row r="26" spans="1:31" x14ac:dyDescent="0.3">
      <c r="A26" t="s">
        <v>40</v>
      </c>
      <c r="B26" t="s">
        <v>148</v>
      </c>
      <c r="C26" t="s">
        <v>70</v>
      </c>
      <c r="D26" t="s">
        <v>43</v>
      </c>
      <c r="E26" t="s">
        <v>44</v>
      </c>
      <c r="G26" t="s">
        <v>45</v>
      </c>
      <c r="H26" t="s">
        <v>45</v>
      </c>
      <c r="I26" t="s">
        <v>45</v>
      </c>
      <c r="J26" t="s">
        <v>45</v>
      </c>
      <c r="R26" t="s">
        <v>45</v>
      </c>
      <c r="Y26" t="s">
        <v>70</v>
      </c>
      <c r="AB26">
        <f t="shared" si="0"/>
        <v>20</v>
      </c>
      <c r="AD26">
        <f t="shared" si="1"/>
        <v>7</v>
      </c>
      <c r="AE26" t="str">
        <f t="shared" si="2"/>
        <v>⭐ PICK</v>
      </c>
    </row>
    <row r="27" spans="1:31" x14ac:dyDescent="0.3">
      <c r="A27" t="s">
        <v>40</v>
      </c>
      <c r="B27" t="s">
        <v>149</v>
      </c>
      <c r="C27" t="s">
        <v>70</v>
      </c>
      <c r="D27" t="s">
        <v>141</v>
      </c>
      <c r="E27" t="s">
        <v>44</v>
      </c>
      <c r="G27" t="s">
        <v>45</v>
      </c>
      <c r="H27" t="s">
        <v>45</v>
      </c>
      <c r="I27" t="s">
        <v>45</v>
      </c>
      <c r="J27" t="s">
        <v>45</v>
      </c>
      <c r="K27" t="s">
        <v>45</v>
      </c>
      <c r="Y27" t="s">
        <v>70</v>
      </c>
      <c r="AB27">
        <f t="shared" si="0"/>
        <v>20</v>
      </c>
      <c r="AD27">
        <f t="shared" si="1"/>
        <v>7</v>
      </c>
      <c r="AE27" t="str">
        <f t="shared" si="2"/>
        <v>⭐ PICK</v>
      </c>
    </row>
    <row r="28" spans="1:31" x14ac:dyDescent="0.3">
      <c r="A28" t="s">
        <v>40</v>
      </c>
      <c r="B28" t="s">
        <v>153</v>
      </c>
      <c r="C28" t="s">
        <v>70</v>
      </c>
      <c r="D28" t="s">
        <v>125</v>
      </c>
      <c r="E28" t="s">
        <v>44</v>
      </c>
      <c r="G28" t="s">
        <v>45</v>
      </c>
      <c r="H28" t="s">
        <v>45</v>
      </c>
      <c r="I28" t="s">
        <v>45</v>
      </c>
      <c r="Q28" t="s">
        <v>45</v>
      </c>
      <c r="R28" t="s">
        <v>45</v>
      </c>
      <c r="Y28" t="s">
        <v>70</v>
      </c>
      <c r="AB28">
        <f t="shared" si="0"/>
        <v>20</v>
      </c>
      <c r="AD28">
        <f t="shared" si="1"/>
        <v>7</v>
      </c>
      <c r="AE28" t="str">
        <f t="shared" si="2"/>
        <v>⭐ PICK</v>
      </c>
    </row>
    <row r="29" spans="1:31" x14ac:dyDescent="0.3">
      <c r="A29" t="s">
        <v>40</v>
      </c>
      <c r="B29" t="s">
        <v>156</v>
      </c>
      <c r="C29" t="s">
        <v>157</v>
      </c>
      <c r="D29" t="s">
        <v>158</v>
      </c>
      <c r="E29" t="s">
        <v>44</v>
      </c>
      <c r="I29" t="s">
        <v>45</v>
      </c>
      <c r="J29" t="s">
        <v>45</v>
      </c>
      <c r="K29" t="s">
        <v>45</v>
      </c>
      <c r="L29" t="s">
        <v>45</v>
      </c>
      <c r="M29" t="s">
        <v>45</v>
      </c>
      <c r="S29">
        <v>11</v>
      </c>
      <c r="W29">
        <v>5</v>
      </c>
      <c r="X29" t="s">
        <v>57</v>
      </c>
      <c r="Y29" t="s">
        <v>116</v>
      </c>
      <c r="AB29">
        <f t="shared" si="0"/>
        <v>90</v>
      </c>
      <c r="AD29">
        <f t="shared" si="1"/>
        <v>8</v>
      </c>
      <c r="AE29" t="str">
        <f t="shared" si="2"/>
        <v/>
      </c>
    </row>
    <row r="30" spans="1:31" x14ac:dyDescent="0.3">
      <c r="A30" t="s">
        <v>40</v>
      </c>
      <c r="B30" t="s">
        <v>173</v>
      </c>
      <c r="C30" t="s">
        <v>174</v>
      </c>
      <c r="D30" t="s">
        <v>158</v>
      </c>
      <c r="E30" t="s">
        <v>44</v>
      </c>
      <c r="I30" t="s">
        <v>45</v>
      </c>
      <c r="J30" t="s">
        <v>45</v>
      </c>
      <c r="K30" t="s">
        <v>45</v>
      </c>
      <c r="L30" t="s">
        <v>45</v>
      </c>
      <c r="M30" t="s">
        <v>45</v>
      </c>
      <c r="Y30" t="s">
        <v>116</v>
      </c>
      <c r="AB30">
        <f t="shared" si="0"/>
        <v>90</v>
      </c>
      <c r="AD30">
        <f t="shared" si="1"/>
        <v>5</v>
      </c>
      <c r="AE30" t="str">
        <f t="shared" si="2"/>
        <v/>
      </c>
    </row>
    <row r="31" spans="1:31" x14ac:dyDescent="0.3">
      <c r="A31" t="s">
        <v>40</v>
      </c>
      <c r="B31" t="s">
        <v>175</v>
      </c>
      <c r="C31" t="s">
        <v>176</v>
      </c>
      <c r="D31" t="s">
        <v>158</v>
      </c>
      <c r="E31" t="s">
        <v>44</v>
      </c>
      <c r="I31" t="s">
        <v>45</v>
      </c>
      <c r="J31" t="s">
        <v>45</v>
      </c>
      <c r="K31" t="s">
        <v>45</v>
      </c>
      <c r="L31" t="s">
        <v>45</v>
      </c>
      <c r="M31" t="s">
        <v>45</v>
      </c>
      <c r="Y31" t="s">
        <v>116</v>
      </c>
      <c r="AB31">
        <f t="shared" si="0"/>
        <v>90</v>
      </c>
      <c r="AD31">
        <f t="shared" si="1"/>
        <v>5</v>
      </c>
      <c r="AE31" t="str">
        <f t="shared" si="2"/>
        <v/>
      </c>
    </row>
    <row r="32" spans="1:31" x14ac:dyDescent="0.3">
      <c r="A32" t="s">
        <v>40</v>
      </c>
      <c r="B32" t="s">
        <v>181</v>
      </c>
      <c r="C32" t="s">
        <v>70</v>
      </c>
      <c r="D32" t="s">
        <v>141</v>
      </c>
      <c r="E32" t="s">
        <v>44</v>
      </c>
      <c r="G32" t="s">
        <v>45</v>
      </c>
      <c r="H32" t="s">
        <v>45</v>
      </c>
      <c r="I32" t="s">
        <v>45</v>
      </c>
      <c r="J32" t="s">
        <v>45</v>
      </c>
      <c r="K32" t="s">
        <v>45</v>
      </c>
      <c r="Y32" t="s">
        <v>70</v>
      </c>
      <c r="AB32">
        <f t="shared" si="0"/>
        <v>20</v>
      </c>
      <c r="AD32">
        <f t="shared" si="1"/>
        <v>7</v>
      </c>
      <c r="AE32" t="str">
        <f t="shared" si="2"/>
        <v>⭐ PICK</v>
      </c>
    </row>
    <row r="33" spans="1:31" x14ac:dyDescent="0.3">
      <c r="A33" t="s">
        <v>40</v>
      </c>
      <c r="B33" t="s">
        <v>189</v>
      </c>
      <c r="C33" t="s">
        <v>190</v>
      </c>
      <c r="D33" t="s">
        <v>123</v>
      </c>
      <c r="E33" t="s">
        <v>44</v>
      </c>
      <c r="G33" t="s">
        <v>45</v>
      </c>
      <c r="H33" t="s">
        <v>45</v>
      </c>
      <c r="O33" t="s">
        <v>45</v>
      </c>
      <c r="P33" t="s">
        <v>45</v>
      </c>
      <c r="Q33" t="s">
        <v>45</v>
      </c>
      <c r="R33" t="s">
        <v>45</v>
      </c>
      <c r="Y33" t="s">
        <v>116</v>
      </c>
      <c r="AB33">
        <f t="shared" si="0"/>
        <v>90</v>
      </c>
      <c r="AD33">
        <f t="shared" si="1"/>
        <v>5</v>
      </c>
      <c r="AE33" t="str">
        <f t="shared" si="2"/>
        <v/>
      </c>
    </row>
    <row r="34" spans="1:31" x14ac:dyDescent="0.3">
      <c r="A34" t="s">
        <v>40</v>
      </c>
      <c r="B34" t="s">
        <v>192</v>
      </c>
      <c r="C34" t="s">
        <v>193</v>
      </c>
      <c r="D34" t="s">
        <v>123</v>
      </c>
      <c r="E34" t="s">
        <v>44</v>
      </c>
      <c r="G34" t="s">
        <v>45</v>
      </c>
      <c r="H34" t="s">
        <v>45</v>
      </c>
      <c r="O34" t="s">
        <v>45</v>
      </c>
      <c r="P34" t="s">
        <v>45</v>
      </c>
      <c r="Q34" t="s">
        <v>45</v>
      </c>
      <c r="R34" t="s">
        <v>45</v>
      </c>
      <c r="AB34">
        <f t="shared" ref="AB34:AB65" si="3">IF(Y34="Emission Nebula",90,IF(Y34="Reflection Nebula",75,IF(Y34="Planetary Nebula",60,IF(Y34="Galaxy",90,IF(Y34="Globular Cluster",30,IF(Y34="Open Cluster",20,IF(Y34="Comet",20,IF(Y34="Planet",10,IF(Y34="Star",5,45)))))))))</f>
        <v>45</v>
      </c>
      <c r="AD34">
        <f t="shared" ref="AD34:AD65" si="4">MAX(1,MIN(10,ROUND((IF(S34="",5,IF(S34&lt;3,2,IF(S34&lt;10,4,IF(S34&lt;=70,8,IF(S34&lt;=100,6,4))))))+IF(Y34="Emission Nebula",2,IF(Y34="Open Cluster",2,IF(Y34="Globular Cluster",2,IF(Y34="Reflection Nebula",1,IF(Y34="Planetary Nebula",1,IF(Y34="Comet",1,0))))))+IF(Z34="High (easy)",2,IF(Z34="Medium",1,IF(Z34="Low (hard)",-1,0)))+IF(AA34="High (OK with Moon)",2,IF(AA34="Medium",0,IF(AA34="Low (needs dark)",-2,0)))+IF(AC34="High (best &gt;50°)",1,IF(AC34="Medium",0,IF(AC34="Low (OK)",-1,0))),0)))</f>
        <v>5</v>
      </c>
      <c r="AE34" t="str">
        <f t="shared" ref="AE34:AE65" si="5">IF(AND(G34="✔",AD34&gt;=7,OR(V34&lt;&gt;"No",V34=""),OR(X34="No",X34="")),"⭐ PICK","")</f>
        <v/>
      </c>
    </row>
    <row r="35" spans="1:31" x14ac:dyDescent="0.3">
      <c r="A35" t="s">
        <v>40</v>
      </c>
      <c r="B35" t="s">
        <v>194</v>
      </c>
      <c r="C35" t="s">
        <v>195</v>
      </c>
      <c r="D35" t="s">
        <v>123</v>
      </c>
      <c r="E35" t="s">
        <v>44</v>
      </c>
      <c r="G35" t="s">
        <v>45</v>
      </c>
      <c r="H35" t="s">
        <v>45</v>
      </c>
      <c r="O35" t="s">
        <v>45</v>
      </c>
      <c r="P35" t="s">
        <v>45</v>
      </c>
      <c r="Q35" t="s">
        <v>45</v>
      </c>
      <c r="R35" t="s">
        <v>45</v>
      </c>
      <c r="Y35" t="s">
        <v>116</v>
      </c>
      <c r="AB35">
        <f t="shared" si="3"/>
        <v>90</v>
      </c>
      <c r="AD35">
        <f t="shared" si="4"/>
        <v>5</v>
      </c>
      <c r="AE35" t="str">
        <f t="shared" si="5"/>
        <v/>
      </c>
    </row>
    <row r="36" spans="1:31" x14ac:dyDescent="0.3">
      <c r="A36" t="s">
        <v>40</v>
      </c>
      <c r="B36" t="s">
        <v>196</v>
      </c>
      <c r="C36" t="s">
        <v>197</v>
      </c>
      <c r="D36" t="s">
        <v>125</v>
      </c>
      <c r="E36" t="s">
        <v>44</v>
      </c>
      <c r="G36" t="s">
        <v>45</v>
      </c>
      <c r="H36" t="s">
        <v>45</v>
      </c>
      <c r="I36" t="s">
        <v>45</v>
      </c>
      <c r="Q36" t="s">
        <v>45</v>
      </c>
      <c r="R36" t="s">
        <v>45</v>
      </c>
      <c r="Y36" t="s">
        <v>197</v>
      </c>
      <c r="AB36">
        <f t="shared" si="3"/>
        <v>75</v>
      </c>
      <c r="AD36">
        <f t="shared" si="4"/>
        <v>6</v>
      </c>
      <c r="AE36" t="str">
        <f t="shared" si="5"/>
        <v/>
      </c>
    </row>
    <row r="37" spans="1:31" x14ac:dyDescent="0.3">
      <c r="A37" t="s">
        <v>40</v>
      </c>
      <c r="B37" t="s">
        <v>200</v>
      </c>
      <c r="C37" t="s">
        <v>201</v>
      </c>
      <c r="D37" t="s">
        <v>202</v>
      </c>
      <c r="E37" t="s">
        <v>44</v>
      </c>
      <c r="H37" t="s">
        <v>45</v>
      </c>
      <c r="I37" t="s">
        <v>45</v>
      </c>
      <c r="J37" t="s">
        <v>45</v>
      </c>
      <c r="K37" t="s">
        <v>45</v>
      </c>
      <c r="L37" t="s">
        <v>45</v>
      </c>
      <c r="S37">
        <v>27</v>
      </c>
      <c r="W37">
        <v>5</v>
      </c>
      <c r="X37" t="s">
        <v>57</v>
      </c>
      <c r="Y37" t="s">
        <v>116</v>
      </c>
      <c r="AB37">
        <f t="shared" si="3"/>
        <v>90</v>
      </c>
      <c r="AD37">
        <f t="shared" si="4"/>
        <v>8</v>
      </c>
      <c r="AE37" t="str">
        <f t="shared" si="5"/>
        <v/>
      </c>
    </row>
    <row r="38" spans="1:31" x14ac:dyDescent="0.3">
      <c r="A38" t="s">
        <v>40</v>
      </c>
      <c r="B38" t="s">
        <v>203</v>
      </c>
      <c r="C38" t="s">
        <v>204</v>
      </c>
      <c r="D38" t="s">
        <v>202</v>
      </c>
      <c r="E38" t="s">
        <v>44</v>
      </c>
      <c r="H38" t="s">
        <v>45</v>
      </c>
      <c r="I38" t="s">
        <v>45</v>
      </c>
      <c r="J38" t="s">
        <v>45</v>
      </c>
      <c r="K38" t="s">
        <v>45</v>
      </c>
      <c r="L38" t="s">
        <v>45</v>
      </c>
      <c r="S38">
        <v>11</v>
      </c>
      <c r="W38">
        <v>5</v>
      </c>
      <c r="X38" t="s">
        <v>57</v>
      </c>
      <c r="Y38" t="s">
        <v>116</v>
      </c>
      <c r="AB38">
        <f t="shared" si="3"/>
        <v>90</v>
      </c>
      <c r="AD38">
        <f t="shared" si="4"/>
        <v>8</v>
      </c>
      <c r="AE38" t="str">
        <f t="shared" si="5"/>
        <v/>
      </c>
    </row>
    <row r="39" spans="1:31" x14ac:dyDescent="0.3">
      <c r="A39" t="s">
        <v>40</v>
      </c>
      <c r="B39" t="s">
        <v>215</v>
      </c>
      <c r="C39" t="s">
        <v>70</v>
      </c>
      <c r="D39" t="s">
        <v>43</v>
      </c>
      <c r="E39" t="s">
        <v>44</v>
      </c>
      <c r="G39" t="s">
        <v>45</v>
      </c>
      <c r="H39" t="s">
        <v>45</v>
      </c>
      <c r="I39" t="s">
        <v>45</v>
      </c>
      <c r="J39" t="s">
        <v>45</v>
      </c>
      <c r="R39" t="s">
        <v>45</v>
      </c>
      <c r="Y39" t="s">
        <v>70</v>
      </c>
      <c r="AB39">
        <f t="shared" si="3"/>
        <v>20</v>
      </c>
      <c r="AD39">
        <f t="shared" si="4"/>
        <v>7</v>
      </c>
      <c r="AE39" t="str">
        <f t="shared" si="5"/>
        <v>⭐ PICK</v>
      </c>
    </row>
    <row r="40" spans="1:31" x14ac:dyDescent="0.3">
      <c r="A40" t="s">
        <v>40</v>
      </c>
      <c r="B40" t="s">
        <v>220</v>
      </c>
      <c r="C40" t="s">
        <v>221</v>
      </c>
      <c r="D40" t="s">
        <v>202</v>
      </c>
      <c r="E40" t="s">
        <v>44</v>
      </c>
      <c r="H40" t="s">
        <v>45</v>
      </c>
      <c r="I40" t="s">
        <v>45</v>
      </c>
      <c r="J40" t="s">
        <v>45</v>
      </c>
      <c r="K40" t="s">
        <v>45</v>
      </c>
      <c r="L40" t="s">
        <v>45</v>
      </c>
      <c r="Y40" t="s">
        <v>46</v>
      </c>
      <c r="AB40">
        <f t="shared" si="3"/>
        <v>90</v>
      </c>
      <c r="AD40">
        <f t="shared" si="4"/>
        <v>7</v>
      </c>
      <c r="AE40" t="str">
        <f t="shared" si="5"/>
        <v/>
      </c>
    </row>
    <row r="41" spans="1:31" x14ac:dyDescent="0.3">
      <c r="A41" t="s">
        <v>40</v>
      </c>
      <c r="B41" t="s">
        <v>225</v>
      </c>
      <c r="C41" t="s">
        <v>190</v>
      </c>
      <c r="D41" t="s">
        <v>158</v>
      </c>
      <c r="E41" t="s">
        <v>44</v>
      </c>
      <c r="I41" t="s">
        <v>45</v>
      </c>
      <c r="J41" t="s">
        <v>45</v>
      </c>
      <c r="K41" t="s">
        <v>45</v>
      </c>
      <c r="L41" t="s">
        <v>45</v>
      </c>
      <c r="M41" t="s">
        <v>45</v>
      </c>
      <c r="Y41" t="s">
        <v>116</v>
      </c>
      <c r="AB41">
        <f t="shared" si="3"/>
        <v>90</v>
      </c>
      <c r="AD41">
        <f t="shared" si="4"/>
        <v>5</v>
      </c>
      <c r="AE41" t="str">
        <f t="shared" si="5"/>
        <v/>
      </c>
    </row>
    <row r="42" spans="1:31" x14ac:dyDescent="0.3">
      <c r="A42" t="s">
        <v>40</v>
      </c>
      <c r="B42" t="s">
        <v>226</v>
      </c>
      <c r="C42" t="s">
        <v>227</v>
      </c>
      <c r="D42" t="s">
        <v>158</v>
      </c>
      <c r="E42" t="s">
        <v>44</v>
      </c>
      <c r="I42" t="s">
        <v>45</v>
      </c>
      <c r="J42" t="s">
        <v>45</v>
      </c>
      <c r="K42" t="s">
        <v>45</v>
      </c>
      <c r="L42" t="s">
        <v>45</v>
      </c>
      <c r="M42" t="s">
        <v>45</v>
      </c>
      <c r="Y42" t="s">
        <v>116</v>
      </c>
      <c r="AB42">
        <f t="shared" si="3"/>
        <v>90</v>
      </c>
      <c r="AD42">
        <f t="shared" si="4"/>
        <v>5</v>
      </c>
      <c r="AE42" t="str">
        <f t="shared" si="5"/>
        <v/>
      </c>
    </row>
    <row r="43" spans="1:31" x14ac:dyDescent="0.3">
      <c r="A43" t="s">
        <v>40</v>
      </c>
      <c r="B43" t="s">
        <v>228</v>
      </c>
      <c r="C43" t="s">
        <v>229</v>
      </c>
      <c r="D43" t="s">
        <v>158</v>
      </c>
      <c r="E43" t="s">
        <v>44</v>
      </c>
      <c r="I43" t="s">
        <v>45</v>
      </c>
      <c r="J43" t="s">
        <v>45</v>
      </c>
      <c r="K43" t="s">
        <v>45</v>
      </c>
      <c r="L43" t="s">
        <v>45</v>
      </c>
      <c r="M43" t="s">
        <v>45</v>
      </c>
      <c r="Y43" t="s">
        <v>116</v>
      </c>
      <c r="AB43">
        <f t="shared" si="3"/>
        <v>90</v>
      </c>
      <c r="AD43">
        <f t="shared" si="4"/>
        <v>5</v>
      </c>
      <c r="AE43" t="str">
        <f t="shared" si="5"/>
        <v/>
      </c>
    </row>
    <row r="44" spans="1:31" x14ac:dyDescent="0.3">
      <c r="A44" t="s">
        <v>40</v>
      </c>
      <c r="B44" t="s">
        <v>233</v>
      </c>
      <c r="C44" t="s">
        <v>234</v>
      </c>
      <c r="D44" t="s">
        <v>202</v>
      </c>
      <c r="E44" t="s">
        <v>44</v>
      </c>
      <c r="H44" t="s">
        <v>45</v>
      </c>
      <c r="I44" t="s">
        <v>45</v>
      </c>
      <c r="J44" t="s">
        <v>45</v>
      </c>
      <c r="K44" t="s">
        <v>45</v>
      </c>
      <c r="L44" t="s">
        <v>45</v>
      </c>
      <c r="Y44" t="s">
        <v>116</v>
      </c>
      <c r="AB44">
        <f t="shared" si="3"/>
        <v>90</v>
      </c>
      <c r="AD44">
        <f t="shared" si="4"/>
        <v>5</v>
      </c>
      <c r="AE44" t="str">
        <f t="shared" si="5"/>
        <v/>
      </c>
    </row>
    <row r="45" spans="1:31" x14ac:dyDescent="0.3">
      <c r="A45" t="s">
        <v>40</v>
      </c>
      <c r="B45" t="s">
        <v>235</v>
      </c>
      <c r="C45" t="s">
        <v>190</v>
      </c>
      <c r="D45" t="s">
        <v>202</v>
      </c>
      <c r="E45" t="s">
        <v>44</v>
      </c>
      <c r="H45" t="s">
        <v>45</v>
      </c>
      <c r="I45" t="s">
        <v>45</v>
      </c>
      <c r="J45" t="s">
        <v>45</v>
      </c>
      <c r="K45" t="s">
        <v>45</v>
      </c>
      <c r="L45" t="s">
        <v>45</v>
      </c>
      <c r="Y45" t="s">
        <v>116</v>
      </c>
      <c r="AB45">
        <f t="shared" si="3"/>
        <v>90</v>
      </c>
      <c r="AD45">
        <f t="shared" si="4"/>
        <v>5</v>
      </c>
      <c r="AE45" t="str">
        <f t="shared" si="5"/>
        <v/>
      </c>
    </row>
    <row r="46" spans="1:31" x14ac:dyDescent="0.3">
      <c r="A46" t="s">
        <v>40</v>
      </c>
      <c r="B46" t="s">
        <v>237</v>
      </c>
      <c r="C46" t="s">
        <v>190</v>
      </c>
      <c r="D46" t="s">
        <v>202</v>
      </c>
      <c r="E46" t="s">
        <v>44</v>
      </c>
      <c r="H46" t="s">
        <v>45</v>
      </c>
      <c r="I46" t="s">
        <v>45</v>
      </c>
      <c r="J46" t="s">
        <v>45</v>
      </c>
      <c r="K46" t="s">
        <v>45</v>
      </c>
      <c r="L46" t="s">
        <v>45</v>
      </c>
      <c r="Y46" t="s">
        <v>116</v>
      </c>
      <c r="AB46">
        <f t="shared" si="3"/>
        <v>90</v>
      </c>
      <c r="AD46">
        <f t="shared" si="4"/>
        <v>5</v>
      </c>
      <c r="AE46" t="str">
        <f t="shared" si="5"/>
        <v/>
      </c>
    </row>
    <row r="47" spans="1:31" x14ac:dyDescent="0.3">
      <c r="A47" t="s">
        <v>40</v>
      </c>
      <c r="B47" t="s">
        <v>238</v>
      </c>
      <c r="C47" t="s">
        <v>190</v>
      </c>
      <c r="D47" t="s">
        <v>202</v>
      </c>
      <c r="E47" t="s">
        <v>44</v>
      </c>
      <c r="H47" t="s">
        <v>45</v>
      </c>
      <c r="I47" t="s">
        <v>45</v>
      </c>
      <c r="J47" t="s">
        <v>45</v>
      </c>
      <c r="K47" t="s">
        <v>45</v>
      </c>
      <c r="L47" t="s">
        <v>45</v>
      </c>
      <c r="Y47" t="s">
        <v>116</v>
      </c>
      <c r="AB47">
        <f t="shared" si="3"/>
        <v>90</v>
      </c>
      <c r="AD47">
        <f t="shared" si="4"/>
        <v>5</v>
      </c>
      <c r="AE47" t="str">
        <f t="shared" si="5"/>
        <v/>
      </c>
    </row>
    <row r="48" spans="1:31" x14ac:dyDescent="0.3">
      <c r="A48" t="s">
        <v>40</v>
      </c>
      <c r="B48" t="s">
        <v>239</v>
      </c>
      <c r="C48" t="s">
        <v>119</v>
      </c>
      <c r="D48" t="s">
        <v>115</v>
      </c>
      <c r="E48" t="s">
        <v>44</v>
      </c>
      <c r="M48" t="s">
        <v>45</v>
      </c>
      <c r="N48" t="s">
        <v>45</v>
      </c>
      <c r="O48" t="s">
        <v>45</v>
      </c>
      <c r="P48" t="s">
        <v>45</v>
      </c>
      <c r="Q48" t="s">
        <v>45</v>
      </c>
      <c r="R48" t="s">
        <v>45</v>
      </c>
      <c r="AB48">
        <f t="shared" si="3"/>
        <v>45</v>
      </c>
      <c r="AD48">
        <f t="shared" si="4"/>
        <v>5</v>
      </c>
      <c r="AE48" t="str">
        <f t="shared" si="5"/>
        <v/>
      </c>
    </row>
    <row r="49" spans="1:31" x14ac:dyDescent="0.3">
      <c r="A49" t="s">
        <v>240</v>
      </c>
      <c r="B49" t="s">
        <v>320</v>
      </c>
      <c r="C49" t="s">
        <v>321</v>
      </c>
      <c r="D49" t="s">
        <v>115</v>
      </c>
      <c r="E49" t="s">
        <v>44</v>
      </c>
      <c r="M49" t="s">
        <v>45</v>
      </c>
      <c r="N49" t="s">
        <v>45</v>
      </c>
      <c r="O49" t="s">
        <v>45</v>
      </c>
      <c r="P49" t="s">
        <v>45</v>
      </c>
      <c r="Q49" t="s">
        <v>45</v>
      </c>
      <c r="R49" t="s">
        <v>45</v>
      </c>
      <c r="Y49" t="s">
        <v>116</v>
      </c>
      <c r="AB49">
        <f t="shared" si="3"/>
        <v>90</v>
      </c>
      <c r="AD49">
        <f t="shared" si="4"/>
        <v>5</v>
      </c>
      <c r="AE49" t="str">
        <f t="shared" si="5"/>
        <v/>
      </c>
    </row>
    <row r="50" spans="1:31" x14ac:dyDescent="0.3">
      <c r="A50" t="s">
        <v>240</v>
      </c>
      <c r="B50" t="s">
        <v>322</v>
      </c>
      <c r="C50" t="s">
        <v>323</v>
      </c>
      <c r="D50" t="s">
        <v>243</v>
      </c>
      <c r="E50" t="s">
        <v>44</v>
      </c>
      <c r="G50" t="s">
        <v>45</v>
      </c>
      <c r="H50" t="s">
        <v>45</v>
      </c>
      <c r="I50" t="s">
        <v>45</v>
      </c>
      <c r="O50" t="s">
        <v>45</v>
      </c>
      <c r="P50" t="s">
        <v>45</v>
      </c>
      <c r="Q50" t="s">
        <v>45</v>
      </c>
      <c r="R50" t="s">
        <v>45</v>
      </c>
      <c r="Y50" t="s">
        <v>46</v>
      </c>
      <c r="AB50">
        <f t="shared" si="3"/>
        <v>90</v>
      </c>
      <c r="AD50">
        <f t="shared" si="4"/>
        <v>7</v>
      </c>
      <c r="AE50" t="str">
        <f t="shared" si="5"/>
        <v>⭐ PICK</v>
      </c>
    </row>
    <row r="51" spans="1:31" x14ac:dyDescent="0.3">
      <c r="A51" t="s">
        <v>240</v>
      </c>
      <c r="B51" t="s">
        <v>324</v>
      </c>
      <c r="C51" t="s">
        <v>325</v>
      </c>
      <c r="D51" t="s">
        <v>286</v>
      </c>
      <c r="E51" t="s">
        <v>44</v>
      </c>
      <c r="N51" t="s">
        <v>45</v>
      </c>
      <c r="O51" t="s">
        <v>45</v>
      </c>
      <c r="P51" t="s">
        <v>45</v>
      </c>
      <c r="Q51" t="s">
        <v>45</v>
      </c>
      <c r="R51" t="s">
        <v>45</v>
      </c>
      <c r="Y51" t="s">
        <v>116</v>
      </c>
      <c r="AB51">
        <f t="shared" si="3"/>
        <v>90</v>
      </c>
      <c r="AD51">
        <f t="shared" si="4"/>
        <v>5</v>
      </c>
      <c r="AE51" t="str">
        <f t="shared" si="5"/>
        <v/>
      </c>
    </row>
    <row r="52" spans="1:31" x14ac:dyDescent="0.3">
      <c r="A52" t="s">
        <v>240</v>
      </c>
      <c r="B52" t="s">
        <v>326</v>
      </c>
      <c r="C52" t="s">
        <v>327</v>
      </c>
      <c r="D52" t="s">
        <v>125</v>
      </c>
      <c r="E52" t="s">
        <v>44</v>
      </c>
      <c r="G52" t="s">
        <v>45</v>
      </c>
      <c r="H52" t="s">
        <v>45</v>
      </c>
      <c r="I52" t="s">
        <v>45</v>
      </c>
      <c r="Q52" t="s">
        <v>45</v>
      </c>
      <c r="R52" t="s">
        <v>45</v>
      </c>
      <c r="Y52" t="s">
        <v>46</v>
      </c>
      <c r="AB52">
        <f t="shared" si="3"/>
        <v>90</v>
      </c>
      <c r="AD52">
        <f t="shared" si="4"/>
        <v>7</v>
      </c>
      <c r="AE52" t="str">
        <f t="shared" si="5"/>
        <v>⭐ PICK</v>
      </c>
    </row>
    <row r="53" spans="1:31" x14ac:dyDescent="0.3">
      <c r="A53" t="s">
        <v>240</v>
      </c>
      <c r="B53" t="s">
        <v>328</v>
      </c>
      <c r="C53" t="s">
        <v>70</v>
      </c>
      <c r="D53" t="s">
        <v>125</v>
      </c>
      <c r="E53" t="s">
        <v>44</v>
      </c>
      <c r="G53" t="s">
        <v>45</v>
      </c>
      <c r="H53" t="s">
        <v>45</v>
      </c>
      <c r="I53" t="s">
        <v>45</v>
      </c>
      <c r="Q53" t="s">
        <v>45</v>
      </c>
      <c r="R53" t="s">
        <v>45</v>
      </c>
      <c r="Y53" t="s">
        <v>70</v>
      </c>
      <c r="AB53">
        <f t="shared" si="3"/>
        <v>20</v>
      </c>
      <c r="AD53">
        <f t="shared" si="4"/>
        <v>7</v>
      </c>
      <c r="AE53" t="str">
        <f t="shared" si="5"/>
        <v>⭐ PICK</v>
      </c>
    </row>
    <row r="54" spans="1:31" x14ac:dyDescent="0.3">
      <c r="A54" t="s">
        <v>240</v>
      </c>
      <c r="B54" t="s">
        <v>313</v>
      </c>
      <c r="C54" t="s">
        <v>314</v>
      </c>
      <c r="D54" t="s">
        <v>125</v>
      </c>
      <c r="E54" t="s">
        <v>44</v>
      </c>
      <c r="G54" t="s">
        <v>45</v>
      </c>
      <c r="H54" t="s">
        <v>45</v>
      </c>
      <c r="I54" t="s">
        <v>45</v>
      </c>
      <c r="Q54" t="s">
        <v>45</v>
      </c>
      <c r="R54" t="s">
        <v>45</v>
      </c>
      <c r="AB54">
        <f t="shared" si="3"/>
        <v>45</v>
      </c>
      <c r="AD54">
        <f t="shared" si="4"/>
        <v>5</v>
      </c>
      <c r="AE54" t="str">
        <f t="shared" si="5"/>
        <v/>
      </c>
    </row>
    <row r="55" spans="1:31" x14ac:dyDescent="0.3">
      <c r="A55" t="s">
        <v>240</v>
      </c>
      <c r="B55" t="s">
        <v>329</v>
      </c>
      <c r="C55" t="s">
        <v>330</v>
      </c>
      <c r="D55" t="s">
        <v>280</v>
      </c>
      <c r="E55" t="s">
        <v>44</v>
      </c>
      <c r="K55" t="s">
        <v>45</v>
      </c>
      <c r="L55" t="s">
        <v>45</v>
      </c>
      <c r="M55" t="s">
        <v>45</v>
      </c>
      <c r="N55" t="s">
        <v>45</v>
      </c>
      <c r="O55" t="s">
        <v>45</v>
      </c>
      <c r="P55" t="s">
        <v>45</v>
      </c>
      <c r="S55">
        <v>25</v>
      </c>
      <c r="W55">
        <v>5</v>
      </c>
      <c r="X55" t="s">
        <v>57</v>
      </c>
      <c r="Y55" t="s">
        <v>46</v>
      </c>
      <c r="AB55">
        <f t="shared" si="3"/>
        <v>90</v>
      </c>
      <c r="AD55">
        <f t="shared" si="4"/>
        <v>10</v>
      </c>
      <c r="AE55" t="str">
        <f t="shared" si="5"/>
        <v/>
      </c>
    </row>
    <row r="56" spans="1:31" x14ac:dyDescent="0.3">
      <c r="A56" t="s">
        <v>240</v>
      </c>
      <c r="B56" t="s">
        <v>331</v>
      </c>
      <c r="C56" t="s">
        <v>332</v>
      </c>
      <c r="D56" t="s">
        <v>280</v>
      </c>
      <c r="E56" t="s">
        <v>44</v>
      </c>
      <c r="K56" t="s">
        <v>45</v>
      </c>
      <c r="L56" t="s">
        <v>45</v>
      </c>
      <c r="M56" t="s">
        <v>45</v>
      </c>
      <c r="N56" t="s">
        <v>45</v>
      </c>
      <c r="O56" t="s">
        <v>45</v>
      </c>
      <c r="P56" t="s">
        <v>45</v>
      </c>
      <c r="Y56" t="s">
        <v>116</v>
      </c>
      <c r="AB56">
        <f t="shared" si="3"/>
        <v>90</v>
      </c>
      <c r="AD56">
        <f t="shared" si="4"/>
        <v>5</v>
      </c>
      <c r="AE56" t="str">
        <f t="shared" si="5"/>
        <v/>
      </c>
    </row>
    <row r="57" spans="1:31" x14ac:dyDescent="0.3">
      <c r="A57" t="s">
        <v>240</v>
      </c>
      <c r="B57" t="s">
        <v>333</v>
      </c>
      <c r="C57" t="s">
        <v>334</v>
      </c>
      <c r="D57" t="s">
        <v>109</v>
      </c>
      <c r="E57" t="s">
        <v>44</v>
      </c>
      <c r="L57" t="s">
        <v>45</v>
      </c>
      <c r="M57" t="s">
        <v>45</v>
      </c>
      <c r="N57" t="s">
        <v>45</v>
      </c>
      <c r="O57" t="s">
        <v>45</v>
      </c>
      <c r="P57" t="s">
        <v>45</v>
      </c>
      <c r="S57">
        <v>70</v>
      </c>
      <c r="W57">
        <v>5</v>
      </c>
      <c r="X57" t="s">
        <v>57</v>
      </c>
      <c r="Y57" t="s">
        <v>46</v>
      </c>
      <c r="AB57">
        <f t="shared" si="3"/>
        <v>90</v>
      </c>
      <c r="AD57">
        <f t="shared" si="4"/>
        <v>10</v>
      </c>
      <c r="AE57" t="str">
        <f t="shared" si="5"/>
        <v/>
      </c>
    </row>
    <row r="58" spans="1:31" x14ac:dyDescent="0.3">
      <c r="A58" t="s">
        <v>240</v>
      </c>
      <c r="B58" t="s">
        <v>335</v>
      </c>
      <c r="C58" t="s">
        <v>336</v>
      </c>
      <c r="D58" t="s">
        <v>109</v>
      </c>
      <c r="E58" t="s">
        <v>44</v>
      </c>
      <c r="L58" t="s">
        <v>45</v>
      </c>
      <c r="M58" t="s">
        <v>45</v>
      </c>
      <c r="N58" t="s">
        <v>45</v>
      </c>
      <c r="O58" t="s">
        <v>45</v>
      </c>
      <c r="P58" t="s">
        <v>45</v>
      </c>
      <c r="S58">
        <v>120</v>
      </c>
      <c r="W58">
        <v>3</v>
      </c>
      <c r="X58" t="s">
        <v>44</v>
      </c>
      <c r="Y58" t="s">
        <v>46</v>
      </c>
      <c r="AB58">
        <f t="shared" si="3"/>
        <v>90</v>
      </c>
      <c r="AD58">
        <f t="shared" si="4"/>
        <v>6</v>
      </c>
      <c r="AE58" t="str">
        <f t="shared" si="5"/>
        <v/>
      </c>
    </row>
    <row r="59" spans="1:31" x14ac:dyDescent="0.3">
      <c r="A59" t="s">
        <v>240</v>
      </c>
      <c r="B59" t="s">
        <v>337</v>
      </c>
      <c r="C59" t="s">
        <v>338</v>
      </c>
      <c r="D59" t="s">
        <v>115</v>
      </c>
      <c r="E59" t="s">
        <v>44</v>
      </c>
      <c r="M59" t="s">
        <v>45</v>
      </c>
      <c r="N59" t="s">
        <v>45</v>
      </c>
      <c r="O59" t="s">
        <v>45</v>
      </c>
      <c r="P59" t="s">
        <v>45</v>
      </c>
      <c r="Q59" t="s">
        <v>45</v>
      </c>
      <c r="R59" t="s">
        <v>45</v>
      </c>
      <c r="Y59" t="s">
        <v>197</v>
      </c>
      <c r="AB59">
        <f t="shared" si="3"/>
        <v>75</v>
      </c>
      <c r="AD59">
        <f t="shared" si="4"/>
        <v>6</v>
      </c>
      <c r="AE59" t="str">
        <f t="shared" si="5"/>
        <v/>
      </c>
    </row>
    <row r="60" spans="1:31" x14ac:dyDescent="0.3">
      <c r="A60" t="s">
        <v>240</v>
      </c>
      <c r="B60" t="s">
        <v>339</v>
      </c>
      <c r="C60" t="s">
        <v>340</v>
      </c>
      <c r="D60" t="s">
        <v>115</v>
      </c>
      <c r="E60" t="s">
        <v>44</v>
      </c>
      <c r="M60" t="s">
        <v>45</v>
      </c>
      <c r="N60" t="s">
        <v>45</v>
      </c>
      <c r="O60" t="s">
        <v>45</v>
      </c>
      <c r="P60" t="s">
        <v>45</v>
      </c>
      <c r="Q60" t="s">
        <v>45</v>
      </c>
      <c r="R60" t="s">
        <v>45</v>
      </c>
      <c r="S60">
        <v>28</v>
      </c>
      <c r="W60">
        <v>5</v>
      </c>
      <c r="X60" t="s">
        <v>57</v>
      </c>
      <c r="Y60" t="s">
        <v>46</v>
      </c>
      <c r="AB60">
        <f t="shared" si="3"/>
        <v>90</v>
      </c>
      <c r="AD60">
        <f t="shared" si="4"/>
        <v>10</v>
      </c>
      <c r="AE60" t="str">
        <f t="shared" si="5"/>
        <v/>
      </c>
    </row>
    <row r="61" spans="1:31" x14ac:dyDescent="0.3">
      <c r="A61" t="s">
        <v>240</v>
      </c>
      <c r="B61" t="s">
        <v>341</v>
      </c>
      <c r="C61" t="s">
        <v>190</v>
      </c>
      <c r="D61" t="s">
        <v>115</v>
      </c>
      <c r="E61" t="s">
        <v>44</v>
      </c>
      <c r="M61" t="s">
        <v>45</v>
      </c>
      <c r="N61" t="s">
        <v>45</v>
      </c>
      <c r="O61" t="s">
        <v>45</v>
      </c>
      <c r="P61" t="s">
        <v>45</v>
      </c>
      <c r="Q61" t="s">
        <v>45</v>
      </c>
      <c r="R61" t="s">
        <v>45</v>
      </c>
      <c r="Y61" t="s">
        <v>116</v>
      </c>
      <c r="AB61">
        <f t="shared" si="3"/>
        <v>90</v>
      </c>
      <c r="AD61">
        <f t="shared" si="4"/>
        <v>5</v>
      </c>
      <c r="AE61" t="str">
        <f t="shared" si="5"/>
        <v/>
      </c>
    </row>
    <row r="62" spans="1:31" x14ac:dyDescent="0.3">
      <c r="A62" t="s">
        <v>240</v>
      </c>
      <c r="B62" t="s">
        <v>342</v>
      </c>
      <c r="C62" t="s">
        <v>343</v>
      </c>
      <c r="D62" t="s">
        <v>243</v>
      </c>
      <c r="E62" t="s">
        <v>44</v>
      </c>
      <c r="G62" t="s">
        <v>45</v>
      </c>
      <c r="H62" t="s">
        <v>45</v>
      </c>
      <c r="I62" t="s">
        <v>45</v>
      </c>
      <c r="O62" t="s">
        <v>45</v>
      </c>
      <c r="P62" t="s">
        <v>45</v>
      </c>
      <c r="Q62" t="s">
        <v>45</v>
      </c>
      <c r="R62" t="s">
        <v>45</v>
      </c>
      <c r="Y62" t="s">
        <v>46</v>
      </c>
      <c r="AB62">
        <f t="shared" si="3"/>
        <v>90</v>
      </c>
      <c r="AD62">
        <f t="shared" si="4"/>
        <v>7</v>
      </c>
      <c r="AE62" t="str">
        <f t="shared" si="5"/>
        <v>⭐ PICK</v>
      </c>
    </row>
    <row r="63" spans="1:31" x14ac:dyDescent="0.3">
      <c r="A63" t="s">
        <v>287</v>
      </c>
      <c r="B63" t="s">
        <v>344</v>
      </c>
      <c r="C63" t="s">
        <v>345</v>
      </c>
      <c r="D63" t="s">
        <v>243</v>
      </c>
      <c r="E63" t="s">
        <v>44</v>
      </c>
      <c r="G63" t="s">
        <v>45</v>
      </c>
      <c r="H63" t="s">
        <v>45</v>
      </c>
      <c r="I63" t="s">
        <v>45</v>
      </c>
      <c r="O63" t="s">
        <v>45</v>
      </c>
      <c r="P63" t="s">
        <v>45</v>
      </c>
      <c r="Q63" t="s">
        <v>45</v>
      </c>
      <c r="R63" t="s">
        <v>45</v>
      </c>
      <c r="AB63">
        <f t="shared" si="3"/>
        <v>45</v>
      </c>
      <c r="AD63">
        <f t="shared" si="4"/>
        <v>5</v>
      </c>
      <c r="AE63" t="str">
        <f t="shared" si="5"/>
        <v/>
      </c>
    </row>
    <row r="64" spans="1:31" x14ac:dyDescent="0.3">
      <c r="A64" t="s">
        <v>287</v>
      </c>
      <c r="B64" t="s">
        <v>346</v>
      </c>
      <c r="C64" t="s">
        <v>347</v>
      </c>
      <c r="D64" t="s">
        <v>348</v>
      </c>
      <c r="E64" t="s">
        <v>44</v>
      </c>
      <c r="G64" t="s">
        <v>45</v>
      </c>
      <c r="H64" t="s">
        <v>45</v>
      </c>
      <c r="I64" t="s">
        <v>45</v>
      </c>
      <c r="O64" t="s">
        <v>45</v>
      </c>
      <c r="P64" t="s">
        <v>45</v>
      </c>
      <c r="Q64" t="s">
        <v>45</v>
      </c>
      <c r="S64">
        <v>60</v>
      </c>
      <c r="W64">
        <v>5</v>
      </c>
      <c r="X64" t="s">
        <v>57</v>
      </c>
      <c r="Y64" t="s">
        <v>46</v>
      </c>
      <c r="AB64">
        <f t="shared" si="3"/>
        <v>90</v>
      </c>
      <c r="AD64">
        <f t="shared" si="4"/>
        <v>10</v>
      </c>
      <c r="AE64" t="str">
        <f t="shared" si="5"/>
        <v>⭐ PICK</v>
      </c>
    </row>
    <row r="65" spans="1:31" x14ac:dyDescent="0.3">
      <c r="A65" t="s">
        <v>287</v>
      </c>
      <c r="B65" t="s">
        <v>349</v>
      </c>
      <c r="C65" t="s">
        <v>350</v>
      </c>
      <c r="D65" t="s">
        <v>348</v>
      </c>
      <c r="E65" t="s">
        <v>44</v>
      </c>
      <c r="G65" t="s">
        <v>45</v>
      </c>
      <c r="H65" t="s">
        <v>45</v>
      </c>
      <c r="I65" t="s">
        <v>45</v>
      </c>
      <c r="O65" t="s">
        <v>45</v>
      </c>
      <c r="P65" t="s">
        <v>45</v>
      </c>
      <c r="Q65" t="s">
        <v>45</v>
      </c>
      <c r="S65">
        <v>60</v>
      </c>
      <c r="W65">
        <v>5</v>
      </c>
      <c r="X65" t="s">
        <v>57</v>
      </c>
      <c r="Y65" t="s">
        <v>46</v>
      </c>
      <c r="AB65">
        <f t="shared" si="3"/>
        <v>90</v>
      </c>
      <c r="AD65">
        <f t="shared" si="4"/>
        <v>10</v>
      </c>
      <c r="AE65" t="str">
        <f t="shared" si="5"/>
        <v>⭐ PICK</v>
      </c>
    </row>
    <row r="66" spans="1:31" x14ac:dyDescent="0.3">
      <c r="A66" t="s">
        <v>287</v>
      </c>
      <c r="B66" t="s">
        <v>316</v>
      </c>
      <c r="C66" t="s">
        <v>351</v>
      </c>
      <c r="D66" t="s">
        <v>125</v>
      </c>
      <c r="E66" t="s">
        <v>44</v>
      </c>
      <c r="G66" t="s">
        <v>45</v>
      </c>
      <c r="H66" t="s">
        <v>45</v>
      </c>
      <c r="I66" t="s">
        <v>45</v>
      </c>
      <c r="Q66" t="s">
        <v>45</v>
      </c>
      <c r="R66" t="s">
        <v>45</v>
      </c>
      <c r="AB66">
        <f t="shared" ref="AB66:AB83" si="6">IF(Y66="Emission Nebula",90,IF(Y66="Reflection Nebula",75,IF(Y66="Planetary Nebula",60,IF(Y66="Galaxy",90,IF(Y66="Globular Cluster",30,IF(Y66="Open Cluster",20,IF(Y66="Comet",20,IF(Y66="Planet",10,IF(Y66="Star",5,45)))))))))</f>
        <v>45</v>
      </c>
      <c r="AD66">
        <f t="shared" ref="AD66:AD83" si="7">MAX(1,MIN(10,ROUND((IF(S66="",5,IF(S66&lt;3,2,IF(S66&lt;10,4,IF(S66&lt;=70,8,IF(S66&lt;=100,6,4))))))+IF(Y66="Emission Nebula",2,IF(Y66="Open Cluster",2,IF(Y66="Globular Cluster",2,IF(Y66="Reflection Nebula",1,IF(Y66="Planetary Nebula",1,IF(Y66="Comet",1,0))))))+IF(Z66="High (easy)",2,IF(Z66="Medium",1,IF(Z66="Low (hard)",-1,0)))+IF(AA66="High (OK with Moon)",2,IF(AA66="Medium",0,IF(AA66="Low (needs dark)",-2,0)))+IF(AC66="High (best &gt;50°)",1,IF(AC66="Medium",0,IF(AC66="Low (OK)",-1,0))),0)))</f>
        <v>5</v>
      </c>
      <c r="AE66" t="str">
        <f t="shared" ref="AE66:AE83" si="8">IF(AND(G66="✔",AD66&gt;=7,OR(V66&lt;&gt;"No",V66=""),OR(X66="No",X66="")),"⭐ PICK","")</f>
        <v/>
      </c>
    </row>
    <row r="67" spans="1:31" x14ac:dyDescent="0.3">
      <c r="A67" t="s">
        <v>287</v>
      </c>
      <c r="B67" t="s">
        <v>318</v>
      </c>
      <c r="C67" t="s">
        <v>319</v>
      </c>
      <c r="D67" t="s">
        <v>125</v>
      </c>
      <c r="E67" t="s">
        <v>44</v>
      </c>
      <c r="G67" t="s">
        <v>45</v>
      </c>
      <c r="H67" t="s">
        <v>45</v>
      </c>
      <c r="I67" t="s">
        <v>45</v>
      </c>
      <c r="Q67" t="s">
        <v>45</v>
      </c>
      <c r="R67" t="s">
        <v>45</v>
      </c>
      <c r="Y67" t="s">
        <v>46</v>
      </c>
      <c r="AB67">
        <f t="shared" si="6"/>
        <v>90</v>
      </c>
      <c r="AD67">
        <f t="shared" si="7"/>
        <v>7</v>
      </c>
      <c r="AE67" t="str">
        <f t="shared" si="8"/>
        <v>⭐ PICK</v>
      </c>
    </row>
    <row r="68" spans="1:31" x14ac:dyDescent="0.3">
      <c r="A68" t="s">
        <v>287</v>
      </c>
      <c r="B68" t="s">
        <v>300</v>
      </c>
      <c r="C68" t="s">
        <v>352</v>
      </c>
      <c r="D68" t="s">
        <v>125</v>
      </c>
      <c r="E68" t="s">
        <v>44</v>
      </c>
      <c r="G68" t="s">
        <v>45</v>
      </c>
      <c r="H68" t="s">
        <v>45</v>
      </c>
      <c r="I68" t="s">
        <v>45</v>
      </c>
      <c r="Q68" t="s">
        <v>45</v>
      </c>
      <c r="R68" t="s">
        <v>45</v>
      </c>
      <c r="S68">
        <v>60</v>
      </c>
      <c r="W68">
        <v>5</v>
      </c>
      <c r="X68" t="s">
        <v>57</v>
      </c>
      <c r="AB68">
        <f t="shared" si="6"/>
        <v>45</v>
      </c>
      <c r="AD68">
        <f t="shared" si="7"/>
        <v>8</v>
      </c>
      <c r="AE68" t="str">
        <f t="shared" si="8"/>
        <v>⭐ PICK</v>
      </c>
    </row>
    <row r="69" spans="1:31" x14ac:dyDescent="0.3">
      <c r="A69" t="s">
        <v>287</v>
      </c>
      <c r="B69" t="s">
        <v>353</v>
      </c>
      <c r="C69" t="s">
        <v>354</v>
      </c>
      <c r="D69" t="s">
        <v>109</v>
      </c>
      <c r="E69" t="s">
        <v>44</v>
      </c>
      <c r="L69" t="s">
        <v>45</v>
      </c>
      <c r="M69" t="s">
        <v>45</v>
      </c>
      <c r="N69" t="s">
        <v>45</v>
      </c>
      <c r="O69" t="s">
        <v>45</v>
      </c>
      <c r="P69" t="s">
        <v>45</v>
      </c>
      <c r="Y69" t="s">
        <v>46</v>
      </c>
      <c r="AB69">
        <f t="shared" si="6"/>
        <v>90</v>
      </c>
      <c r="AD69">
        <f t="shared" si="7"/>
        <v>7</v>
      </c>
      <c r="AE69" t="str">
        <f t="shared" si="8"/>
        <v/>
      </c>
    </row>
    <row r="70" spans="1:31" x14ac:dyDescent="0.3">
      <c r="A70" t="s">
        <v>355</v>
      </c>
      <c r="B70" t="s">
        <v>356</v>
      </c>
      <c r="C70" t="s">
        <v>357</v>
      </c>
      <c r="D70" t="s">
        <v>358</v>
      </c>
      <c r="E70" t="s">
        <v>44</v>
      </c>
      <c r="L70" t="s">
        <v>45</v>
      </c>
      <c r="M70" t="s">
        <v>45</v>
      </c>
      <c r="N70" t="s">
        <v>45</v>
      </c>
      <c r="O70" t="s">
        <v>45</v>
      </c>
      <c r="P70" t="s">
        <v>45</v>
      </c>
      <c r="Q70" t="s">
        <v>45</v>
      </c>
      <c r="AB70">
        <f t="shared" si="6"/>
        <v>45</v>
      </c>
      <c r="AD70">
        <f t="shared" si="7"/>
        <v>5</v>
      </c>
      <c r="AE70" t="str">
        <f t="shared" si="8"/>
        <v/>
      </c>
    </row>
    <row r="71" spans="1:31" x14ac:dyDescent="0.3">
      <c r="A71" t="s">
        <v>355</v>
      </c>
      <c r="B71" t="s">
        <v>359</v>
      </c>
      <c r="C71" t="s">
        <v>46</v>
      </c>
      <c r="D71" t="s">
        <v>109</v>
      </c>
      <c r="E71" t="s">
        <v>44</v>
      </c>
      <c r="L71" t="s">
        <v>45</v>
      </c>
      <c r="M71" t="s">
        <v>45</v>
      </c>
      <c r="N71" t="s">
        <v>45</v>
      </c>
      <c r="O71" t="s">
        <v>45</v>
      </c>
      <c r="P71" t="s">
        <v>45</v>
      </c>
      <c r="Y71" t="s">
        <v>46</v>
      </c>
      <c r="AB71">
        <f t="shared" si="6"/>
        <v>90</v>
      </c>
      <c r="AD71">
        <f t="shared" si="7"/>
        <v>7</v>
      </c>
      <c r="AE71" t="str">
        <f t="shared" si="8"/>
        <v/>
      </c>
    </row>
    <row r="72" spans="1:31" x14ac:dyDescent="0.3">
      <c r="A72" t="s">
        <v>355</v>
      </c>
      <c r="B72" t="s">
        <v>360</v>
      </c>
      <c r="C72" t="s">
        <v>361</v>
      </c>
      <c r="D72" t="s">
        <v>144</v>
      </c>
      <c r="E72" t="s">
        <v>44</v>
      </c>
      <c r="G72" t="s">
        <v>45</v>
      </c>
      <c r="H72" t="s">
        <v>45</v>
      </c>
      <c r="I72" t="s">
        <v>45</v>
      </c>
      <c r="P72" t="s">
        <v>45</v>
      </c>
      <c r="Q72" t="s">
        <v>45</v>
      </c>
      <c r="R72" t="s">
        <v>45</v>
      </c>
      <c r="AB72">
        <f t="shared" si="6"/>
        <v>45</v>
      </c>
      <c r="AD72">
        <f t="shared" si="7"/>
        <v>5</v>
      </c>
      <c r="AE72" t="str">
        <f t="shared" si="8"/>
        <v/>
      </c>
    </row>
    <row r="73" spans="1:31" x14ac:dyDescent="0.3">
      <c r="A73" t="s">
        <v>362</v>
      </c>
      <c r="B73" t="s">
        <v>363</v>
      </c>
      <c r="C73" t="s">
        <v>68</v>
      </c>
      <c r="D73" t="s">
        <v>43</v>
      </c>
      <c r="E73" t="s">
        <v>44</v>
      </c>
      <c r="G73" t="s">
        <v>45</v>
      </c>
      <c r="H73" t="s">
        <v>45</v>
      </c>
      <c r="I73" t="s">
        <v>45</v>
      </c>
      <c r="J73" t="s">
        <v>45</v>
      </c>
      <c r="R73" t="s">
        <v>45</v>
      </c>
      <c r="Y73" t="s">
        <v>70</v>
      </c>
      <c r="AB73">
        <f t="shared" si="6"/>
        <v>20</v>
      </c>
      <c r="AD73">
        <f t="shared" si="7"/>
        <v>7</v>
      </c>
      <c r="AE73" t="str">
        <f t="shared" si="8"/>
        <v>⭐ PICK</v>
      </c>
    </row>
    <row r="74" spans="1:31" x14ac:dyDescent="0.3">
      <c r="A74" t="s">
        <v>362</v>
      </c>
      <c r="B74" t="s">
        <v>364</v>
      </c>
      <c r="C74" t="s">
        <v>82</v>
      </c>
      <c r="D74" t="s">
        <v>76</v>
      </c>
      <c r="E74" t="s">
        <v>44</v>
      </c>
      <c r="K74" t="s">
        <v>45</v>
      </c>
      <c r="L74" t="s">
        <v>45</v>
      </c>
      <c r="M74" t="s">
        <v>45</v>
      </c>
      <c r="N74" t="s">
        <v>45</v>
      </c>
      <c r="O74" t="s">
        <v>45</v>
      </c>
      <c r="Y74" t="s">
        <v>70</v>
      </c>
      <c r="AB74">
        <f t="shared" si="6"/>
        <v>20</v>
      </c>
      <c r="AD74">
        <f t="shared" si="7"/>
        <v>7</v>
      </c>
      <c r="AE74" t="str">
        <f t="shared" si="8"/>
        <v/>
      </c>
    </row>
    <row r="75" spans="1:31" x14ac:dyDescent="0.3">
      <c r="A75" t="s">
        <v>362</v>
      </c>
      <c r="B75" t="s">
        <v>365</v>
      </c>
      <c r="C75" t="s">
        <v>366</v>
      </c>
      <c r="D75" t="s">
        <v>141</v>
      </c>
      <c r="E75" t="s">
        <v>44</v>
      </c>
      <c r="G75" t="s">
        <v>45</v>
      </c>
      <c r="H75" t="s">
        <v>45</v>
      </c>
      <c r="I75" t="s">
        <v>45</v>
      </c>
      <c r="J75" t="s">
        <v>45</v>
      </c>
      <c r="K75" t="s">
        <v>45</v>
      </c>
      <c r="AB75">
        <f t="shared" si="6"/>
        <v>45</v>
      </c>
      <c r="AD75">
        <f t="shared" si="7"/>
        <v>5</v>
      </c>
      <c r="AE75" t="str">
        <f t="shared" si="8"/>
        <v/>
      </c>
    </row>
    <row r="76" spans="1:31" x14ac:dyDescent="0.3">
      <c r="A76" t="s">
        <v>362</v>
      </c>
      <c r="B76" t="s">
        <v>367</v>
      </c>
      <c r="C76" t="s">
        <v>368</v>
      </c>
      <c r="D76" t="s">
        <v>202</v>
      </c>
      <c r="E76" t="s">
        <v>44</v>
      </c>
      <c r="H76" t="s">
        <v>45</v>
      </c>
      <c r="I76" t="s">
        <v>45</v>
      </c>
      <c r="J76" t="s">
        <v>45</v>
      </c>
      <c r="K76" t="s">
        <v>45</v>
      </c>
      <c r="L76" t="s">
        <v>45</v>
      </c>
      <c r="AB76">
        <f t="shared" si="6"/>
        <v>45</v>
      </c>
      <c r="AD76">
        <f t="shared" si="7"/>
        <v>5</v>
      </c>
      <c r="AE76" t="str">
        <f t="shared" si="8"/>
        <v/>
      </c>
    </row>
    <row r="77" spans="1:31" x14ac:dyDescent="0.3">
      <c r="A77" t="s">
        <v>362</v>
      </c>
      <c r="B77" t="s">
        <v>369</v>
      </c>
      <c r="C77" t="s">
        <v>70</v>
      </c>
      <c r="D77" t="s">
        <v>76</v>
      </c>
      <c r="E77" t="s">
        <v>44</v>
      </c>
      <c r="K77" t="s">
        <v>45</v>
      </c>
      <c r="L77" t="s">
        <v>45</v>
      </c>
      <c r="M77" t="s">
        <v>45</v>
      </c>
      <c r="N77" t="s">
        <v>45</v>
      </c>
      <c r="O77" t="s">
        <v>45</v>
      </c>
      <c r="Y77" t="s">
        <v>70</v>
      </c>
      <c r="AB77">
        <f t="shared" si="6"/>
        <v>20</v>
      </c>
      <c r="AD77">
        <f t="shared" si="7"/>
        <v>7</v>
      </c>
      <c r="AE77" t="str">
        <f t="shared" si="8"/>
        <v/>
      </c>
    </row>
    <row r="78" spans="1:31" x14ac:dyDescent="0.3">
      <c r="A78" t="s">
        <v>362</v>
      </c>
      <c r="B78" t="s">
        <v>370</v>
      </c>
      <c r="C78" t="s">
        <v>252</v>
      </c>
      <c r="D78" t="s">
        <v>43</v>
      </c>
      <c r="E78" t="s">
        <v>44</v>
      </c>
      <c r="G78" t="s">
        <v>45</v>
      </c>
      <c r="H78" t="s">
        <v>45</v>
      </c>
      <c r="I78" t="s">
        <v>45</v>
      </c>
      <c r="J78" t="s">
        <v>45</v>
      </c>
      <c r="R78" t="s">
        <v>45</v>
      </c>
      <c r="Y78" t="s">
        <v>46</v>
      </c>
      <c r="AB78">
        <f t="shared" si="6"/>
        <v>90</v>
      </c>
      <c r="AD78">
        <f t="shared" si="7"/>
        <v>7</v>
      </c>
      <c r="AE78" t="str">
        <f t="shared" si="8"/>
        <v>⭐ PICK</v>
      </c>
    </row>
    <row r="79" spans="1:31" x14ac:dyDescent="0.3">
      <c r="A79" t="s">
        <v>362</v>
      </c>
      <c r="B79" t="s">
        <v>371</v>
      </c>
      <c r="C79" t="s">
        <v>372</v>
      </c>
      <c r="D79" t="s">
        <v>136</v>
      </c>
      <c r="E79" t="s">
        <v>44</v>
      </c>
      <c r="G79" t="s">
        <v>45</v>
      </c>
      <c r="H79" t="s">
        <v>45</v>
      </c>
      <c r="I79" t="s">
        <v>45</v>
      </c>
      <c r="J79" t="s">
        <v>45</v>
      </c>
      <c r="Q79" t="s">
        <v>45</v>
      </c>
      <c r="R79" t="s">
        <v>45</v>
      </c>
      <c r="Y79" t="s">
        <v>46</v>
      </c>
      <c r="AB79">
        <f t="shared" si="6"/>
        <v>90</v>
      </c>
      <c r="AD79">
        <f t="shared" si="7"/>
        <v>7</v>
      </c>
      <c r="AE79" t="str">
        <f t="shared" si="8"/>
        <v>⭐ PICK</v>
      </c>
    </row>
    <row r="80" spans="1:31" x14ac:dyDescent="0.3">
      <c r="A80" t="s">
        <v>373</v>
      </c>
      <c r="B80" t="s">
        <v>374</v>
      </c>
      <c r="C80" t="s">
        <v>375</v>
      </c>
      <c r="D80" t="s">
        <v>132</v>
      </c>
      <c r="E80" t="s">
        <v>44</v>
      </c>
      <c r="Y80" t="s">
        <v>373</v>
      </c>
      <c r="AB80">
        <f t="shared" si="6"/>
        <v>5</v>
      </c>
      <c r="AD80">
        <f t="shared" si="7"/>
        <v>5</v>
      </c>
      <c r="AE80" t="str">
        <f t="shared" si="8"/>
        <v/>
      </c>
    </row>
    <row r="81" spans="1:31" x14ac:dyDescent="0.3">
      <c r="A81" t="s">
        <v>373</v>
      </c>
      <c r="B81" t="s">
        <v>376</v>
      </c>
      <c r="C81" t="s">
        <v>377</v>
      </c>
      <c r="D81" t="s">
        <v>144</v>
      </c>
      <c r="E81" t="s">
        <v>44</v>
      </c>
      <c r="G81" t="s">
        <v>45</v>
      </c>
      <c r="H81" t="s">
        <v>45</v>
      </c>
      <c r="I81" t="s">
        <v>45</v>
      </c>
      <c r="P81" t="s">
        <v>45</v>
      </c>
      <c r="Q81" t="s">
        <v>45</v>
      </c>
      <c r="R81" t="s">
        <v>45</v>
      </c>
      <c r="Y81" t="s">
        <v>373</v>
      </c>
      <c r="AB81">
        <f t="shared" si="6"/>
        <v>5</v>
      </c>
      <c r="AD81">
        <f t="shared" si="7"/>
        <v>5</v>
      </c>
      <c r="AE81" t="str">
        <f t="shared" si="8"/>
        <v/>
      </c>
    </row>
    <row r="82" spans="1:31" x14ac:dyDescent="0.3">
      <c r="A82" t="s">
        <v>373</v>
      </c>
      <c r="B82" t="s">
        <v>378</v>
      </c>
      <c r="C82" t="s">
        <v>379</v>
      </c>
      <c r="D82" t="s">
        <v>144</v>
      </c>
      <c r="E82" t="s">
        <v>44</v>
      </c>
      <c r="G82" t="s">
        <v>45</v>
      </c>
      <c r="H82" t="s">
        <v>45</v>
      </c>
      <c r="I82" t="s">
        <v>45</v>
      </c>
      <c r="P82" t="s">
        <v>45</v>
      </c>
      <c r="Q82" t="s">
        <v>45</v>
      </c>
      <c r="R82" t="s">
        <v>45</v>
      </c>
      <c r="Y82" t="s">
        <v>373</v>
      </c>
      <c r="AB82">
        <f t="shared" si="6"/>
        <v>5</v>
      </c>
      <c r="AD82">
        <f t="shared" si="7"/>
        <v>5</v>
      </c>
      <c r="AE82" t="str">
        <f t="shared" si="8"/>
        <v/>
      </c>
    </row>
    <row r="83" spans="1:31" x14ac:dyDescent="0.3">
      <c r="A83" t="s">
        <v>380</v>
      </c>
      <c r="B83" t="s">
        <v>381</v>
      </c>
      <c r="C83" t="s">
        <v>380</v>
      </c>
      <c r="D83" t="s">
        <v>115</v>
      </c>
      <c r="E83" t="s">
        <v>44</v>
      </c>
      <c r="M83" t="s">
        <v>45</v>
      </c>
      <c r="N83" t="s">
        <v>45</v>
      </c>
      <c r="O83" t="s">
        <v>45</v>
      </c>
      <c r="P83" t="s">
        <v>45</v>
      </c>
      <c r="Q83" t="s">
        <v>45</v>
      </c>
      <c r="R83" t="s">
        <v>45</v>
      </c>
      <c r="Y83" t="s">
        <v>380</v>
      </c>
      <c r="AB83">
        <f t="shared" si="6"/>
        <v>10</v>
      </c>
      <c r="AD83">
        <f t="shared" si="7"/>
        <v>5</v>
      </c>
      <c r="AE83" t="str">
        <f t="shared" si="8"/>
        <v/>
      </c>
    </row>
  </sheetData>
  <autoFilter ref="A1:AE83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 Planner</vt:lpstr>
      <vt:lpstr>Imaging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Charles Summers</cp:lastModifiedBy>
  <dcterms:created xsi:type="dcterms:W3CDTF">2026-01-01T00:32:02Z</dcterms:created>
  <dcterms:modified xsi:type="dcterms:W3CDTF">2026-03-14T00:42:56Z</dcterms:modified>
</cp:coreProperties>
</file>